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試験情報" sheetId="1" r:id="rId1"/>
    <sheet name="重量データ" sheetId="2" r:id="rId2"/>
    <sheet name="規格集計" sheetId="3" r:id="rId3"/>
    <sheet name="被害度" sheetId="4" r:id="rId4"/>
    <sheet name="品質区分" sheetId="5" r:id="rId5"/>
    <sheet name="グラフ（画像）" sheetId="6" r:id="rId6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"/>
  </numFmts>
  <fonts count="4">
    <font>
      <sz val="11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4"/>
      <color rgb="FF8A2F4E"/>
      <name val="游ゴシック"/>
      <family val="3"/>
      <charset val="128"/>
    </font>
    <font>
      <sz val="9"/>
      <color rgb="FF6C627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1E8EC"/>
        <bgColor indexed="64"/>
      </patternFill>
    </fill>
    <fill>
      <patternFill patternType="solid">
        <fgColor rgb="FFFBF0D8"/>
        <bgColor indexed="64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6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1" fillId="3" borderId="1" xfId="0" applyFont="1" applyFill="1" applyBorder="1" applyAlignment="1">
      <alignment horizontal="center" vertical="center"/>
    </xf>
    <xf numFmtId="166" fontId="1" fillId="3" borderId="1" xfId="0" applyNumberFormat="1" applyFont="1" applyFill="1" applyBorder="1"/>
    <xf numFmtId="165" fontId="1" fillId="3" borderId="1" xfId="0" applyNumberFormat="1" applyFont="1" applyFill="1" applyBorder="1"/>
    <xf numFmtId="0" fontId="3" fillId="0" borderId="0" xfId="0" applyFont="1"/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164" fontId="1" fillId="3" borderId="1" xfId="0" applyNumberFormat="1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ja-JP" sz="1200" b="1"/>
              <a:t>規格別本数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'規格集計'!$C$4</c:f>
              <c:strCache>
                <c:ptCount val="1"/>
                <c:pt idx="0">
                  <c:v>試験区</c:v>
                </c:pt>
              </c:strCache>
            </c:strRef>
          </c:tx>
          <c:spPr>
            <a:solidFill>
              <a:srgbClr val="8A2F4E"/>
            </a:solidFill>
          </c:spPr>
          <c:invertIfNegative val="0"/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/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'規格集計'!$A$6:$A$12</c:f>
              <c:strCache>
                <c:ptCount val="7"/>
                <c:pt idx="0">
                  <c:v>3L</c:v>
                </c:pt>
                <c:pt idx="1">
                  <c:v>2L</c:v>
                </c:pt>
                <c:pt idx="2">
                  <c:v>L</c:v>
                </c:pt>
                <c:pt idx="3">
                  <c:v>M</c:v>
                </c:pt>
                <c:pt idx="4">
                  <c:v>S</c:v>
                </c:pt>
                <c:pt idx="5">
                  <c:v>2S</c:v>
                </c:pt>
                <c:pt idx="6">
                  <c:v>区分外</c:v>
                </c:pt>
              </c:strCache>
            </c:strRef>
          </c:cat>
          <c:val>
            <c:numRef>
              <c:f>'規格集計'!$C$6:$C$12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7</c:v>
                </c:pt>
                <c:pt idx="3">
                  <c:v>13</c:v>
                </c:pt>
                <c:pt idx="4">
                  <c:v>32</c:v>
                </c:pt>
                <c:pt idx="5">
                  <c:v>16</c:v>
                </c:pt>
                <c:pt idx="6">
                  <c:v>2</c:v>
                </c:pt>
              </c:numCache>
            </c:numRef>
          </c:val>
        </c:ser>
        <c:ser>
          <c:idx val="1"/>
          <c:order val="1"/>
          <c:tx>
            <c:strRef>
              <c:f>'規格集計'!$F$4</c:f>
              <c:strCache>
                <c:ptCount val="1"/>
                <c:pt idx="0">
                  <c:v>対照区</c:v>
                </c:pt>
              </c:strCache>
            </c:strRef>
          </c:tx>
          <c:spPr>
            <a:solidFill>
              <a:srgbClr val="56704B"/>
            </a:solidFill>
          </c:spPr>
          <c:invertIfNegative val="0"/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/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'規格集計'!$A$6:$A$12</c:f>
              <c:strCache>
                <c:ptCount val="7"/>
                <c:pt idx="0">
                  <c:v>3L</c:v>
                </c:pt>
                <c:pt idx="1">
                  <c:v>2L</c:v>
                </c:pt>
                <c:pt idx="2">
                  <c:v>L</c:v>
                </c:pt>
                <c:pt idx="3">
                  <c:v>M</c:v>
                </c:pt>
                <c:pt idx="4">
                  <c:v>S</c:v>
                </c:pt>
                <c:pt idx="5">
                  <c:v>2S</c:v>
                </c:pt>
                <c:pt idx="6">
                  <c:v>区分外</c:v>
                </c:pt>
              </c:strCache>
            </c:strRef>
          </c:cat>
          <c:val>
            <c:numRef>
              <c:f>'規格集計'!$F$6:$F$12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9</c:v>
                </c:pt>
                <c:pt idx="3">
                  <c:v>11</c:v>
                </c:pt>
                <c:pt idx="4">
                  <c:v>18</c:v>
                </c:pt>
                <c:pt idx="5">
                  <c:v>9</c:v>
                </c:pt>
                <c:pt idx="6">
                  <c:v>0</c:v>
                </c:pt>
              </c:numCache>
            </c:numRef>
          </c:val>
        </c:ser>
        <c:gapWidth val="80"/>
        <c:overlap val="-1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8C8C8C"/>
            </a:solidFill>
          </a:ln>
        </c:sp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ja-JP" sz="900" b="0"/>
                  <a:t>本数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crossAx val="50010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 w="9525">
      <a:solidFill>
        <a:srgbClr val="D9D9D9"/>
      </a:solidFill>
    </a:ln>
  </c:spPr>
  <c:txPr>
    <a:bodyPr/>
    <a:lstStyle/>
    <a:p>
      <a:pPr>
        <a:defRPr sz="1000">
          <a:solidFill>
            <a:srgbClr val="404040"/>
          </a:solidFill>
          <a:latin typeface="Yu Gothic"/>
          <a:ea typeface="游ゴシック"/>
        </a:defRPr>
      </a:pPr>
      <a:endParaRPr lang="ja-JP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ja-JP" sz="1200" b="1"/>
              <a:t>規格別比率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'規格集計'!$C$4</c:f>
              <c:strCache>
                <c:ptCount val="1"/>
                <c:pt idx="0">
                  <c:v>試験区</c:v>
                </c:pt>
              </c:strCache>
            </c:strRef>
          </c:tx>
          <c:spPr>
            <a:solidFill>
              <a:srgbClr val="8A2F4E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/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'規格集計'!$A$6:$A$12</c:f>
              <c:strCache>
                <c:ptCount val="7"/>
                <c:pt idx="0">
                  <c:v>3L</c:v>
                </c:pt>
                <c:pt idx="1">
                  <c:v>2L</c:v>
                </c:pt>
                <c:pt idx="2">
                  <c:v>L</c:v>
                </c:pt>
                <c:pt idx="3">
                  <c:v>M</c:v>
                </c:pt>
                <c:pt idx="4">
                  <c:v>S</c:v>
                </c:pt>
                <c:pt idx="5">
                  <c:v>2S</c:v>
                </c:pt>
                <c:pt idx="6">
                  <c:v>区分外</c:v>
                </c:pt>
              </c:strCache>
            </c:strRef>
          </c:cat>
          <c:val>
            <c:numRef>
              <c:f>'規格集計'!$D$6:$D$12</c:f>
              <c:numCache>
                <c:formatCode>General</c:formatCode>
                <c:ptCount val="7"/>
                <c:pt idx="0">
                  <c:v>0.014084507042253521</c:v>
                </c:pt>
                <c:pt idx="1">
                  <c:v>0</c:v>
                </c:pt>
                <c:pt idx="2">
                  <c:v>0.09859154929577464</c:v>
                </c:pt>
                <c:pt idx="3">
                  <c:v>0.18309859154929578</c:v>
                </c:pt>
                <c:pt idx="4">
                  <c:v>0.4507042253521127</c:v>
                </c:pt>
                <c:pt idx="5">
                  <c:v>0.22535211267605634</c:v>
                </c:pt>
                <c:pt idx="6">
                  <c:v>0.028169014084507043</c:v>
                </c:pt>
              </c:numCache>
            </c:numRef>
          </c:val>
        </c:ser>
        <c:ser>
          <c:idx val="1"/>
          <c:order val="1"/>
          <c:tx>
            <c:strRef>
              <c:f>'規格集計'!$F$4</c:f>
              <c:strCache>
                <c:ptCount val="1"/>
                <c:pt idx="0">
                  <c:v>対照区</c:v>
                </c:pt>
              </c:strCache>
            </c:strRef>
          </c:tx>
          <c:spPr>
            <a:solidFill>
              <a:srgbClr val="56704B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/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'規格集計'!$A$6:$A$12</c:f>
              <c:strCache>
                <c:ptCount val="7"/>
                <c:pt idx="0">
                  <c:v>3L</c:v>
                </c:pt>
                <c:pt idx="1">
                  <c:v>2L</c:v>
                </c:pt>
                <c:pt idx="2">
                  <c:v>L</c:v>
                </c:pt>
                <c:pt idx="3">
                  <c:v>M</c:v>
                </c:pt>
                <c:pt idx="4">
                  <c:v>S</c:v>
                </c:pt>
                <c:pt idx="5">
                  <c:v>2S</c:v>
                </c:pt>
                <c:pt idx="6">
                  <c:v>区分外</c:v>
                </c:pt>
              </c:strCache>
            </c:strRef>
          </c:cat>
          <c:val>
            <c:numRef>
              <c:f>'規格集計'!$G$6:$G$12</c:f>
              <c:numCache>
                <c:formatCode>General</c:formatCode>
                <c:ptCount val="7"/>
                <c:pt idx="0">
                  <c:v>0</c:v>
                </c:pt>
                <c:pt idx="1">
                  <c:v>0.06</c:v>
                </c:pt>
                <c:pt idx="2">
                  <c:v>0.18</c:v>
                </c:pt>
                <c:pt idx="3">
                  <c:v>0.22</c:v>
                </c:pt>
                <c:pt idx="4">
                  <c:v>0.36</c:v>
                </c:pt>
                <c:pt idx="5">
                  <c:v>0.18</c:v>
                </c:pt>
                <c:pt idx="6">
                  <c:v>0</c:v>
                </c:pt>
              </c:numCache>
            </c:numRef>
          </c:val>
        </c:ser>
        <c:gapWidth val="80"/>
        <c:overlap val="-1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8C8C8C"/>
            </a:solidFill>
          </a:ln>
        </c:sp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ja-JP" sz="900" b="0"/>
                  <a:t>比率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crossAx val="50010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 w="9525">
      <a:solidFill>
        <a:srgbClr val="D9D9D9"/>
      </a:solidFill>
    </a:ln>
  </c:spPr>
  <c:txPr>
    <a:bodyPr/>
    <a:lstStyle/>
    <a:p>
      <a:pPr>
        <a:defRPr sz="1000">
          <a:solidFill>
            <a:srgbClr val="404040"/>
          </a:solidFill>
          <a:latin typeface="Yu Gothic"/>
          <a:ea typeface="游ゴシック"/>
        </a:defRPr>
      </a:pPr>
      <a:endParaRPr lang="ja-JP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ja-JP" sz="1200" b="1"/>
              <a:t>被害度（0〜100）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'被害度'!$A$18</c:f>
              <c:strCache>
                <c:ptCount val="1"/>
                <c:pt idx="0">
                  <c:v>試験区</c:v>
                </c:pt>
              </c:strCache>
            </c:strRef>
          </c:tx>
          <c:spPr>
            <a:solidFill>
              <a:srgbClr val="8A2F4E"/>
            </a:solidFill>
          </c:spPr>
          <c:invertIfNegative val="0"/>
          <c:dLbls>
            <c:numFmt formatCode="0.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/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'被害度'!$B$17:$C$17</c:f>
              <c:strCache>
                <c:ptCount val="2"/>
                <c:pt idx="0">
                  <c:v>センチュウ類</c:v>
                </c:pt>
                <c:pt idx="1">
                  <c:v>コガネムシ類</c:v>
                </c:pt>
              </c:strCache>
            </c:strRef>
          </c:cat>
          <c:val>
            <c:numRef>
              <c:f>'被害度'!$B$18:$C$18</c:f>
              <c:numCache>
                <c:formatCode>General</c:formatCode>
                <c:ptCount val="2"/>
                <c:pt idx="0">
                  <c:v>8.208955223880597</c:v>
                </c:pt>
                <c:pt idx="1">
                  <c:v>2.941176470588235</c:v>
                </c:pt>
              </c:numCache>
            </c:numRef>
          </c:val>
        </c:ser>
        <c:ser>
          <c:idx val="1"/>
          <c:order val="1"/>
          <c:tx>
            <c:strRef>
              <c:f>'被害度'!$A$19</c:f>
              <c:strCache>
                <c:ptCount val="1"/>
                <c:pt idx="0">
                  <c:v>対照区</c:v>
                </c:pt>
              </c:strCache>
            </c:strRef>
          </c:tx>
          <c:spPr>
            <a:solidFill>
              <a:srgbClr val="56704B"/>
            </a:solidFill>
          </c:spPr>
          <c:invertIfNegative val="0"/>
          <c:dLbls>
            <c:numFmt formatCode="0.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/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'被害度'!$B$17:$C$17</c:f>
              <c:strCache>
                <c:ptCount val="2"/>
                <c:pt idx="0">
                  <c:v>センチュウ類</c:v>
                </c:pt>
                <c:pt idx="1">
                  <c:v>コガネムシ類</c:v>
                </c:pt>
              </c:strCache>
            </c:strRef>
          </c:cat>
          <c:val>
            <c:numRef>
              <c:f>'被害度'!$B$19:$C$19</c:f>
              <c:numCache>
                <c:formatCode>General</c:formatCode>
                <c:ptCount val="2"/>
                <c:pt idx="0">
                  <c:v>29.347826086956523</c:v>
                </c:pt>
                <c:pt idx="1">
                  <c:v>12.76595744680851</c:v>
                </c:pt>
              </c:numCache>
            </c:numRef>
          </c:val>
        </c:ser>
        <c:gapWidth val="80"/>
        <c:overlap val="-1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8C8C8C"/>
            </a:solidFill>
          </a:ln>
        </c:sp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ja-JP" sz="900" b="0"/>
                  <a:t>被害度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crossAx val="50010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 w="9525">
      <a:solidFill>
        <a:srgbClr val="D9D9D9"/>
      </a:solidFill>
    </a:ln>
  </c:spPr>
  <c:txPr>
    <a:bodyPr/>
    <a:lstStyle/>
    <a:p>
      <a:pPr>
        <a:defRPr sz="1000">
          <a:solidFill>
            <a:srgbClr val="404040"/>
          </a:solidFill>
          <a:latin typeface="Yu Gothic"/>
          <a:ea typeface="游ゴシック"/>
        </a:defRPr>
      </a:pPr>
      <a:endParaRPr lang="ja-JP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ja-JP" sz="1200" b="1"/>
              <a:t>品質区分の割合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'品質区分'!$B$3</c:f>
              <c:strCache>
                <c:ptCount val="1"/>
                <c:pt idx="0">
                  <c:v>A品</c:v>
                </c:pt>
              </c:strCache>
            </c:strRef>
          </c:tx>
          <c:spPr>
            <a:solidFill>
              <a:srgbClr val="3C6A8C"/>
            </a:solidFill>
          </c:spPr>
          <c:invertIfNegative val="0"/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>
                    <a:solidFill>
                      <a:srgbClr val="FFFFFF"/>
                    </a:solidFill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'品質区分'!$A$4:$A$5</c:f>
              <c:strCache>
                <c:ptCount val="2"/>
                <c:pt idx="0">
                  <c:v>試験区</c:v>
                </c:pt>
                <c:pt idx="1">
                  <c:v>対照区</c:v>
                </c:pt>
              </c:strCache>
            </c:strRef>
          </c:cat>
          <c:val>
            <c:numRef>
              <c:f>'品質区分'!$B$4:$B$5</c:f>
              <c:numCache>
                <c:formatCode>General</c:formatCode>
                <c:ptCount val="2"/>
                <c:pt idx="0">
                  <c:v>63</c:v>
                </c:pt>
                <c:pt idx="1">
                  <c:v>45</c:v>
                </c:pt>
              </c:numCache>
            </c:numRef>
          </c:val>
        </c:ser>
        <c:ser>
          <c:idx val="1"/>
          <c:order val="1"/>
          <c:tx>
            <c:strRef>
              <c:f>'品質区分'!$C$3</c:f>
              <c:strCache>
                <c:ptCount val="1"/>
                <c:pt idx="0">
                  <c:v>B品</c:v>
                </c:pt>
              </c:strCache>
            </c:strRef>
          </c:tx>
          <c:spPr>
            <a:solidFill>
              <a:srgbClr val="7FA6C4"/>
            </a:solidFill>
          </c:spPr>
          <c:invertIfNegative val="0"/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>
                    <a:solidFill>
                      <a:srgbClr val="FFFFFF"/>
                    </a:solidFill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'品質区分'!$A$4:$A$5</c:f>
              <c:strCache>
                <c:ptCount val="2"/>
                <c:pt idx="0">
                  <c:v>試験区</c:v>
                </c:pt>
                <c:pt idx="1">
                  <c:v>対照区</c:v>
                </c:pt>
              </c:strCache>
            </c:strRef>
          </c:cat>
          <c:val>
            <c:numRef>
              <c:f>'品質区分'!$C$4:$C$5</c:f>
              <c:numCache>
                <c:formatCode>General</c:formatCode>
                <c:ptCount val="2"/>
                <c:pt idx="0">
                  <c:v>7</c:v>
                </c:pt>
                <c:pt idx="1">
                  <c:v>5</c:v>
                </c:pt>
              </c:numCache>
            </c:numRef>
          </c:val>
        </c:ser>
        <c:ser>
          <c:idx val="2"/>
          <c:order val="2"/>
          <c:tx>
            <c:strRef>
              <c:f>'品質区分'!$D$3</c:f>
              <c:strCache>
                <c:ptCount val="1"/>
                <c:pt idx="0">
                  <c:v>丸品</c:v>
                </c:pt>
              </c:strCache>
            </c:strRef>
          </c:tx>
          <c:spPr>
            <a:solidFill>
              <a:srgbClr val="D9A441"/>
            </a:solidFill>
          </c:spPr>
          <c:invertIfNegative val="0"/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>
                    <a:solidFill>
                      <a:srgbClr val="FFFFFF"/>
                    </a:solidFill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'品質区分'!$A$4:$A$5</c:f>
              <c:strCache>
                <c:ptCount val="2"/>
                <c:pt idx="0">
                  <c:v>試験区</c:v>
                </c:pt>
                <c:pt idx="1">
                  <c:v>対照区</c:v>
                </c:pt>
              </c:strCache>
            </c:strRef>
          </c:cat>
          <c:val>
            <c:numRef>
              <c:f>'品質区分'!$D$4:$D$5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strRef>
              <c:f>'品質区分'!$E$3</c:f>
              <c:strCache>
                <c:ptCount val="1"/>
                <c:pt idx="0">
                  <c:v>C品</c:v>
                </c:pt>
              </c:strCache>
            </c:strRef>
          </c:tx>
          <c:spPr>
            <a:solidFill>
              <a:srgbClr val="B3261E"/>
            </a:solidFill>
          </c:spPr>
          <c:invertIfNegative val="0"/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>
                    <a:solidFill>
                      <a:srgbClr val="FFFFFF"/>
                    </a:solidFill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'品質区分'!$A$4:$A$5</c:f>
              <c:strCache>
                <c:ptCount val="2"/>
                <c:pt idx="0">
                  <c:v>試験区</c:v>
                </c:pt>
                <c:pt idx="1">
                  <c:v>対照区</c:v>
                </c:pt>
              </c:strCache>
            </c:strRef>
          </c:cat>
          <c:val>
            <c:numRef>
              <c:f>'品質区分'!$E$4:$E$5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gapWidth val="60"/>
        <c:overlap val="100"/>
        <c:axId val="50010"/>
        <c:axId val="50020"/>
      </c:barChart>
      <c:catAx>
        <c:axId val="500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8C8C8C"/>
            </a:solidFill>
          </a:ln>
        </c:sp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crossAx val="50010"/>
        <c:crosses val="max"/>
        <c:crossBetween val="between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 w="9525">
      <a:solidFill>
        <a:srgbClr val="D9D9D9"/>
      </a:solidFill>
    </a:ln>
  </c:spPr>
  <c:txPr>
    <a:bodyPr/>
    <a:lstStyle/>
    <a:p>
      <a:pPr>
        <a:defRPr sz="1000">
          <a:solidFill>
            <a:srgbClr val="404040"/>
          </a:solidFill>
          <a:latin typeface="Yu Gothic"/>
          <a:ea typeface="游ゴシック"/>
        </a:defRPr>
      </a:pPr>
      <a:endParaRPr lang="ja-JP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グラフ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グラフ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3</xdr:row>
      <xdr:rowOff>0</xdr:rowOff>
    </xdr:from>
    <xdr:ext cx="6096000" cy="3619500"/>
    <xdr:pic>
      <xdr:nvPicPr>
        <xdr:cNvPr id="2" name="図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096000" cy="3619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6096000" cy="3619500"/>
    <xdr:pic>
      <xdr:nvPicPr>
        <xdr:cNvPr id="3" name="図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6096000" cy="3619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6096000" cy="3619500"/>
    <xdr:pic>
      <xdr:nvPicPr>
        <xdr:cNvPr id="4" name="図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6096000" cy="3619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6096000" cy="3619500"/>
    <xdr:pic>
      <xdr:nvPicPr>
        <xdr:cNvPr id="5" name="図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6096000" cy="3619500"/>
        </a:xfrm>
        <a:prstGeom prst="rect">
          <a:avLst/>
        </a:prstGeom>
      </xdr:spPr>
    </xdr:pic>
    <xdr:clientData/>
  </xdr:oneCellAnchor>
</xdr:wsDr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/>
  </sheetViews>
  <sheetFormatPr defaultRowHeight="18.75"/>
  <cols>
    <col min="1" max="1" width="22" customWidth="1"/>
    <col min="2" max="2" width="12" customWidth="1"/>
    <col min="3" max="3" width="24" customWidth="1"/>
    <col min="4" max="4" width="14" customWidth="1"/>
    <col min="5" max="5" width="12" customWidth="1"/>
    <col min="6" max="6" width="34" customWidth="1"/>
  </cols>
  <sheetData>
    <row r="1">
      <c r="A1" s="1" t="inlineStr">
        <is>
          <t xml:space="preserve">かんしょ 試験調査票</t>
        </is>
      </c>
    </row>
    <row r="2">
      <c r="A2" s="10" t="inlineStr">
        <is>
          <t xml:space="preserve">作成：2026/09/27</t>
        </is>
      </c>
    </row>
    <row r="4">
      <c r="A4" s="12" t="inlineStr">
        <is>
          <t xml:space="preserve">試験名</t>
        </is>
      </c>
      <c r="B4" s="3" t="inlineStr">
        <is>
          <t xml:space="preserve">テスト試験</t>
        </is>
      </c>
      <c r="C4" s="3"/>
      <c r="D4" s="3"/>
      <c r="E4" s="3"/>
      <c r="F4" s="3"/>
    </row>
    <row r="5">
      <c r="A5" s="12" t="inlineStr">
        <is>
          <t xml:space="preserve">植付日</t>
        </is>
      </c>
      <c r="B5" s="3"/>
      <c r="C5" s="3"/>
      <c r="D5" s="3"/>
      <c r="E5" s="3"/>
      <c r="F5" s="3"/>
    </row>
    <row r="6">
      <c r="A6" s="12" t="inlineStr">
        <is>
          <t xml:space="preserve">収穫日</t>
        </is>
      </c>
      <c r="B6" s="3"/>
      <c r="C6" s="3"/>
      <c r="D6" s="3"/>
      <c r="E6" s="3"/>
      <c r="F6" s="3"/>
    </row>
    <row r="7">
      <c r="A7" s="12" t="inlineStr">
        <is>
          <t xml:space="preserve">調査日</t>
        </is>
      </c>
      <c r="B7" s="3" t="inlineStr">
        <is>
          <t xml:space="preserve">2026/09/27</t>
        </is>
      </c>
      <c r="C7" s="3"/>
      <c r="D7" s="3"/>
      <c r="E7" s="3"/>
      <c r="F7" s="3"/>
    </row>
    <row r="8">
      <c r="A8" s="12" t="inlineStr">
        <is>
          <t xml:space="preserve">場所（ほ場）</t>
        </is>
      </c>
      <c r="B8" s="3"/>
      <c r="C8" s="3"/>
      <c r="D8" s="3"/>
      <c r="E8" s="3"/>
      <c r="F8" s="3"/>
    </row>
    <row r="9">
      <c r="A9" s="12" t="inlineStr">
        <is>
          <t xml:space="preserve">品種</t>
        </is>
      </c>
      <c r="B9" s="3"/>
      <c r="C9" s="3"/>
      <c r="D9" s="3"/>
      <c r="E9" s="3"/>
      <c r="F9" s="3"/>
    </row>
    <row r="10">
      <c r="A10" s="12" t="inlineStr">
        <is>
          <t xml:space="preserve">掘り取り株数（1区）</t>
        </is>
      </c>
      <c r="B10" s="14">
        <v>5</v>
      </c>
      <c r="C10" s="3"/>
      <c r="D10" s="3"/>
      <c r="E10" s="3"/>
      <c r="F10" s="3"/>
    </row>
    <row r="11">
      <c r="A11" s="12" t="inlineStr">
        <is>
          <t xml:space="preserve">10a当たり植付株数</t>
        </is>
      </c>
      <c r="B11" s="3"/>
      <c r="C11" s="3"/>
      <c r="D11" s="3"/>
      <c r="E11" s="3"/>
      <c r="F11" s="3"/>
    </row>
    <row r="12">
      <c r="A12" s="12" t="inlineStr">
        <is>
          <t xml:space="preserve">備考</t>
        </is>
      </c>
      <c r="B12" s="3"/>
      <c r="C12" s="3"/>
      <c r="D12" s="3"/>
      <c r="E12" s="3"/>
      <c r="F12" s="3"/>
    </row>
    <row r="14">
      <c r="A14" s="11" t="inlineStr">
        <is>
          <t xml:space="preserve">処理区と使用薬剤</t>
        </is>
      </c>
    </row>
    <row r="15">
      <c r="A15" s="2" t="inlineStr">
        <is>
          <t xml:space="preserve">処理区</t>
        </is>
      </c>
      <c r="B15" s="2" t="inlineStr">
        <is>
          <t xml:space="preserve">区分</t>
        </is>
      </c>
      <c r="C15" s="2" t="inlineStr">
        <is>
          <t xml:space="preserve">薬剤名</t>
        </is>
      </c>
      <c r="D15" s="2" t="inlineStr">
        <is>
          <t xml:space="preserve">処理量</t>
        </is>
      </c>
      <c r="E15" s="2" t="inlineStr">
        <is>
          <t xml:space="preserve">処理日</t>
        </is>
      </c>
      <c r="F15" s="2" t="inlineStr">
        <is>
          <t xml:space="preserve">処理方法</t>
        </is>
      </c>
    </row>
    <row r="16">
      <c r="A16" s="3" t="inlineStr">
        <is>
          <t xml:space="preserve">試験区</t>
        </is>
      </c>
      <c r="B16" s="15" t="inlineStr">
        <is>
          <t xml:space="preserve">試験区</t>
        </is>
      </c>
      <c r="C16" s="3" t="inlineStr">
        <is>
          <t xml:space="preserve">薬剤X</t>
        </is>
      </c>
      <c r="D16" s="3" t="inlineStr">
        <is>
          <t xml:space="preserve">20kg/10a</t>
        </is>
      </c>
      <c r="E16" s="15"/>
      <c r="F16" s="3"/>
    </row>
    <row r="17">
      <c r="A17" s="3" t="inlineStr">
        <is>
          <t xml:space="preserve">対照区</t>
        </is>
      </c>
      <c r="B17" s="15" t="inlineStr">
        <is>
          <t xml:space="preserve">対照区</t>
        </is>
      </c>
      <c r="C17" s="3"/>
      <c r="D17" s="3"/>
      <c r="E17" s="15"/>
      <c r="F17" s="3"/>
    </row>
  </sheetData>
  <mergeCells count="9">
    <mergeCell ref="B4:F4"/>
    <mergeCell ref="B5:F5"/>
    <mergeCell ref="B6:F6"/>
    <mergeCell ref="B7:F7"/>
    <mergeCell ref="B8:F8"/>
    <mergeCell ref="B9:F9"/>
    <mergeCell ref="B10:F10"/>
    <mergeCell ref="B11:F11"/>
    <mergeCell ref="B12:F12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8.75"/>
  <cols>
    <col min="1" max="1" width="6" customWidth="1"/>
    <col min="2" max="2" width="10" customWidth="1"/>
    <col min="3" max="3" width="6" customWidth="1"/>
    <col min="4" max="4" width="8" customWidth="1"/>
    <col min="5" max="5" width="10" customWidth="1"/>
    <col min="6" max="6" width="6" customWidth="1"/>
    <col min="7" max="7" width="8" customWidth="1"/>
  </cols>
  <sheetData>
    <row r="1">
      <c r="A1" s="2" t="inlineStr">
        <is>
          <t xml:space="preserve">No</t>
        </is>
      </c>
      <c r="B1" s="2" t="inlineStr">
        <is>
          <t xml:space="preserve">試験区</t>
        </is>
      </c>
      <c r="C1" s="2"/>
      <c r="D1" s="2"/>
      <c r="E1" s="2" t="inlineStr">
        <is>
          <t xml:space="preserve">対照区</t>
        </is>
      </c>
      <c r="F1" s="2"/>
      <c r="G1" s="2"/>
    </row>
    <row r="2">
      <c r="A2" s="2"/>
      <c r="B2" s="2" t="inlineStr">
        <is>
          <t xml:space="preserve">重量(g)</t>
        </is>
      </c>
      <c r="C2" s="2" t="inlineStr">
        <is>
          <t xml:space="preserve">株</t>
        </is>
      </c>
      <c r="D2" s="2" t="inlineStr">
        <is>
          <t xml:space="preserve">規格</t>
        </is>
      </c>
      <c r="E2" s="2" t="inlineStr">
        <is>
          <t xml:space="preserve">重量(g)</t>
        </is>
      </c>
      <c r="F2" s="2" t="inlineStr">
        <is>
          <t xml:space="preserve">株</t>
        </is>
      </c>
      <c r="G2" s="2" t="inlineStr">
        <is>
          <t xml:space="preserve">規格</t>
        </is>
      </c>
    </row>
    <row r="3">
      <c r="A3" s="15">
        <v>1</v>
      </c>
      <c r="B3" s="14">
        <v>387</v>
      </c>
      <c r="C3" s="15">
        <v>1</v>
      </c>
      <c r="D3" s="15" t="str">
        <f>IF(B3="","",LOOKUP(B3,{0,50,100,200,350,500,700},{"区分外","2S","S","M","L","2L","3L"}))</f>
        <v>L</v>
      </c>
      <c r="E3" s="14">
        <v>127</v>
      </c>
      <c r="F3" s="15">
        <v>1</v>
      </c>
      <c r="G3" s="15" t="str">
        <f>IF(E3="","",LOOKUP(E3,{0,50,100,200,350,500,700},{"区分外","2S","S","M","L","2L","3L"}))</f>
        <v>S</v>
      </c>
    </row>
    <row r="4">
      <c r="A4" s="15">
        <v>2</v>
      </c>
      <c r="B4" s="14">
        <v>212</v>
      </c>
      <c r="C4" s="15">
        <v>1</v>
      </c>
      <c r="D4" s="15" t="str">
        <f>IF(B4="","",LOOKUP(B4,{0,50,100,200,350,500,700},{"区分外","2S","S","M","L","2L","3L"}))</f>
        <v>M</v>
      </c>
      <c r="E4" s="14">
        <v>221</v>
      </c>
      <c r="F4" s="15">
        <v>1</v>
      </c>
      <c r="G4" s="15" t="str">
        <f>IF(E4="","",LOOKUP(E4,{0,50,100,200,350,500,700},{"区分外","2S","S","M","L","2L","3L"}))</f>
        <v>M</v>
      </c>
    </row>
    <row r="5">
      <c r="A5" s="15">
        <v>3</v>
      </c>
      <c r="B5" s="14">
        <v>183</v>
      </c>
      <c r="C5" s="15">
        <v>1</v>
      </c>
      <c r="D5" s="15" t="str">
        <f>IF(B5="","",LOOKUP(B5,{0,50,100,200,350,500,700},{"区分外","2S","S","M","L","2L","3L"}))</f>
        <v>S</v>
      </c>
      <c r="E5" s="14">
        <v>400</v>
      </c>
      <c r="F5" s="15">
        <v>1</v>
      </c>
      <c r="G5" s="15" t="str">
        <f>IF(E5="","",LOOKUP(E5,{0,50,100,200,350,500,700},{"区分外","2S","S","M","L","2L","3L"}))</f>
        <v>L</v>
      </c>
    </row>
    <row r="6">
      <c r="A6" s="15">
        <v>4</v>
      </c>
      <c r="B6" s="14">
        <v>145</v>
      </c>
      <c r="C6" s="15">
        <v>1</v>
      </c>
      <c r="D6" s="15" t="str">
        <f>IF(B6="","",LOOKUP(B6,{0,50,100,200,350,500,700},{"区分外","2S","S","M","L","2L","3L"}))</f>
        <v>S</v>
      </c>
      <c r="E6" s="14">
        <v>257</v>
      </c>
      <c r="F6" s="15">
        <v>1</v>
      </c>
      <c r="G6" s="15" t="str">
        <f>IF(E6="","",LOOKUP(E6,{0,50,100,200,350,500,700},{"区分外","2S","S","M","L","2L","3L"}))</f>
        <v>M</v>
      </c>
    </row>
    <row r="7">
      <c r="A7" s="15">
        <v>5</v>
      </c>
      <c r="B7" s="14">
        <v>490</v>
      </c>
      <c r="C7" s="15">
        <v>1</v>
      </c>
      <c r="D7" s="15" t="str">
        <f>IF(B7="","",LOOKUP(B7,{0,50,100,200,350,500,700},{"区分外","2S","S","M","L","2L","3L"}))</f>
        <v>L</v>
      </c>
      <c r="E7" s="14">
        <v>444</v>
      </c>
      <c r="F7" s="15">
        <v>1</v>
      </c>
      <c r="G7" s="15" t="str">
        <f>IF(E7="","",LOOKUP(E7,{0,50,100,200,350,500,700},{"区分外","2S","S","M","L","2L","3L"}))</f>
        <v>L</v>
      </c>
    </row>
    <row r="8">
      <c r="A8" s="15">
        <v>6</v>
      </c>
      <c r="B8" s="14">
        <v>159</v>
      </c>
      <c r="C8" s="15">
        <v>1</v>
      </c>
      <c r="D8" s="15" t="str">
        <f>IF(B8="","",LOOKUP(B8,{0,50,100,200,350,500,700},{"区分外","2S","S","M","L","2L","3L"}))</f>
        <v>S</v>
      </c>
      <c r="E8" s="14">
        <v>599</v>
      </c>
      <c r="F8" s="15">
        <v>1</v>
      </c>
      <c r="G8" s="15" t="str">
        <f>IF(E8="","",LOOKUP(E8,{0,50,100,200,350,500,700},{"区分外","2S","S","M","L","2L","3L"}))</f>
        <v>2L</v>
      </c>
    </row>
    <row r="9">
      <c r="A9" s="15">
        <v>7</v>
      </c>
      <c r="B9" s="14">
        <v>162</v>
      </c>
      <c r="C9" s="15">
        <v>1</v>
      </c>
      <c r="D9" s="15" t="str">
        <f>IF(B9="","",LOOKUP(B9,{0,50,100,200,350,500,700},{"区分外","2S","S","M","L","2L","3L"}))</f>
        <v>S</v>
      </c>
      <c r="E9" s="14">
        <v>425</v>
      </c>
      <c r="F9" s="15">
        <v>1</v>
      </c>
      <c r="G9" s="15" t="str">
        <f>IF(E9="","",LOOKUP(E9,{0,50,100,200,350,500,700},{"区分外","2S","S","M","L","2L","3L"}))</f>
        <v>L</v>
      </c>
    </row>
    <row r="10">
      <c r="A10" s="15">
        <v>8</v>
      </c>
      <c r="B10" s="14">
        <v>54</v>
      </c>
      <c r="C10" s="15">
        <v>1</v>
      </c>
      <c r="D10" s="15" t="str">
        <f>IF(B10="","",LOOKUP(B10,{0,50,100,200,350,500,700},{"区分外","2S","S","M","L","2L","3L"}))</f>
        <v>2S</v>
      </c>
      <c r="E10" s="14">
        <v>211</v>
      </c>
      <c r="F10" s="15">
        <v>1</v>
      </c>
      <c r="G10" s="15" t="str">
        <f>IF(E10="","",LOOKUP(E10,{0,50,100,200,350,500,700},{"区分外","2S","S","M","L","2L","3L"}))</f>
        <v>M</v>
      </c>
    </row>
    <row r="11">
      <c r="A11" s="15">
        <v>9</v>
      </c>
      <c r="B11" s="14">
        <v>146</v>
      </c>
      <c r="C11" s="15">
        <v>1</v>
      </c>
      <c r="D11" s="15" t="str">
        <f>IF(B11="","",LOOKUP(B11,{0,50,100,200,350,500,700},{"区分外","2S","S","M","L","2L","3L"}))</f>
        <v>S</v>
      </c>
      <c r="E11" s="14">
        <v>130</v>
      </c>
      <c r="F11" s="15">
        <v>1</v>
      </c>
      <c r="G11" s="15" t="str">
        <f>IF(E11="","",LOOKUP(E11,{0,50,100,200,350,500,700},{"区分外","2S","S","M","L","2L","3L"}))</f>
        <v>S</v>
      </c>
    </row>
    <row r="12">
      <c r="A12" s="15">
        <v>10</v>
      </c>
      <c r="B12" s="14">
        <v>439</v>
      </c>
      <c r="C12" s="15">
        <v>1</v>
      </c>
      <c r="D12" s="15" t="str">
        <f>IF(B12="","",LOOKUP(B12,{0,50,100,200,350,500,700},{"区分外","2S","S","M","L","2L","3L"}))</f>
        <v>L</v>
      </c>
      <c r="E12" s="14">
        <v>185</v>
      </c>
      <c r="F12" s="15">
        <v>1</v>
      </c>
      <c r="G12" s="15" t="str">
        <f>IF(E12="","",LOOKUP(E12,{0,50,100,200,350,500,700},{"区分外","2S","S","M","L","2L","3L"}))</f>
        <v>S</v>
      </c>
    </row>
    <row r="13">
      <c r="A13" s="15">
        <v>11</v>
      </c>
      <c r="B13" s="14">
        <v>130</v>
      </c>
      <c r="C13" s="15">
        <v>1</v>
      </c>
      <c r="D13" s="15" t="str">
        <f>IF(B13="","",LOOKUP(B13,{0,50,100,200,350,500,700},{"区分外","2S","S","M","L","2L","3L"}))</f>
        <v>S</v>
      </c>
      <c r="E13" s="14">
        <v>103</v>
      </c>
      <c r="F13" s="15">
        <v>1</v>
      </c>
      <c r="G13" s="15" t="str">
        <f>IF(E13="","",LOOKUP(E13,{0,50,100,200,350,500,700},{"区分外","2S","S","M","L","2L","3L"}))</f>
        <v>S</v>
      </c>
    </row>
    <row r="14">
      <c r="A14" s="15">
        <v>12</v>
      </c>
      <c r="B14" s="14">
        <v>201</v>
      </c>
      <c r="C14" s="15">
        <v>1</v>
      </c>
      <c r="D14" s="15" t="str">
        <f>IF(B14="","",LOOKUP(B14,{0,50,100,200,350,500,700},{"区分外","2S","S","M","L","2L","3L"}))</f>
        <v>M</v>
      </c>
      <c r="E14" s="14">
        <v>161</v>
      </c>
      <c r="F14" s="15">
        <v>1</v>
      </c>
      <c r="G14" s="15" t="str">
        <f>IF(E14="","",LOOKUP(E14,{0,50,100,200,350,500,700},{"区分外","2S","S","M","L","2L","3L"}))</f>
        <v>S</v>
      </c>
    </row>
    <row r="15">
      <c r="A15" s="15">
        <v>13</v>
      </c>
      <c r="B15" s="14">
        <v>101</v>
      </c>
      <c r="C15" s="15">
        <v>1</v>
      </c>
      <c r="D15" s="15" t="str">
        <f>IF(B15="","",LOOKUP(B15,{0,50,100,200,350,500,700},{"区分外","2S","S","M","L","2L","3L"}))</f>
        <v>S</v>
      </c>
      <c r="E15" s="14">
        <v>126</v>
      </c>
      <c r="F15" s="15">
        <v>1</v>
      </c>
      <c r="G15" s="15" t="str">
        <f>IF(E15="","",LOOKUP(E15,{0,50,100,200,350,500,700},{"区分外","2S","S","M","L","2L","3L"}))</f>
        <v>S</v>
      </c>
    </row>
    <row r="16">
      <c r="A16" s="15">
        <v>14</v>
      </c>
      <c r="B16" s="14">
        <v>188</v>
      </c>
      <c r="C16" s="15">
        <v>1</v>
      </c>
      <c r="D16" s="15" t="str">
        <f>IF(B16="","",LOOKUP(B16,{0,50,100,200,350,500,700},{"区分外","2S","S","M","L","2L","3L"}))</f>
        <v>S</v>
      </c>
      <c r="E16" s="14">
        <v>56</v>
      </c>
      <c r="F16" s="15">
        <v>1</v>
      </c>
      <c r="G16" s="15" t="str">
        <f>IF(E16="","",LOOKUP(E16,{0,50,100,200,350,500,700},{"区分外","2S","S","M","L","2L","3L"}))</f>
        <v>2S</v>
      </c>
    </row>
    <row r="17">
      <c r="A17" s="15">
        <v>15</v>
      </c>
      <c r="B17" s="14">
        <v>50</v>
      </c>
      <c r="C17" s="15">
        <v>1</v>
      </c>
      <c r="D17" s="15" t="str">
        <f>IF(B17="","",LOOKUP(B17,{0,50,100,200,350,500,700},{"区分外","2S","S","M","L","2L","3L"}))</f>
        <v>2S</v>
      </c>
      <c r="E17" s="14">
        <v>89</v>
      </c>
      <c r="F17" s="15">
        <v>1</v>
      </c>
      <c r="G17" s="15" t="str">
        <f>IF(E17="","",LOOKUP(E17,{0,50,100,200,350,500,700},{"区分外","2S","S","M","L","2L","3L"}))</f>
        <v>2S</v>
      </c>
    </row>
    <row r="18">
      <c r="A18" s="15">
        <v>16</v>
      </c>
      <c r="B18" s="14">
        <v>81</v>
      </c>
      <c r="C18" s="15">
        <v>1</v>
      </c>
      <c r="D18" s="15" t="str">
        <f>IF(B18="","",LOOKUP(B18,{0,50,100,200,350,500,700},{"区分外","2S","S","M","L","2L","3L"}))</f>
        <v>2S</v>
      </c>
      <c r="E18" s="14">
        <v>100</v>
      </c>
      <c r="F18" s="15">
        <v>1</v>
      </c>
      <c r="G18" s="15" t="str">
        <f>IF(E18="","",LOOKUP(E18,{0,50,100,200,350,500,700},{"区分外","2S","S","M","L","2L","3L"}))</f>
        <v>S</v>
      </c>
    </row>
    <row r="19">
      <c r="A19" s="15">
        <v>17</v>
      </c>
      <c r="B19" s="14">
        <v>144</v>
      </c>
      <c r="C19" s="15">
        <v>1</v>
      </c>
      <c r="D19" s="15" t="str">
        <f>IF(B19="","",LOOKUP(B19,{0,50,100,200,350,500,700},{"区分外","2S","S","M","L","2L","3L"}))</f>
        <v>S</v>
      </c>
      <c r="E19" s="14">
        <v>71</v>
      </c>
      <c r="F19" s="15">
        <v>1</v>
      </c>
      <c r="G19" s="15" t="str">
        <f>IF(E19="","",LOOKUP(E19,{0,50,100,200,350,500,700},{"区分外","2S","S","M","L","2L","3L"}))</f>
        <v>2S</v>
      </c>
    </row>
    <row r="20">
      <c r="A20" s="15">
        <v>18</v>
      </c>
      <c r="B20" s="14">
        <v>84</v>
      </c>
      <c r="C20" s="15">
        <v>1</v>
      </c>
      <c r="D20" s="15" t="str">
        <f>IF(B20="","",LOOKUP(B20,{0,50,100,200,350,500,700},{"区分外","2S","S","M","L","2L","3L"}))</f>
        <v>2S</v>
      </c>
      <c r="E20" s="14">
        <v>520</v>
      </c>
      <c r="F20" s="15">
        <v>1</v>
      </c>
      <c r="G20" s="15" t="str">
        <f>IF(E20="","",LOOKUP(E20,{0,50,100,200,350,500,700},{"区分外","2S","S","M","L","2L","3L"}))</f>
        <v>2L</v>
      </c>
    </row>
    <row r="21">
      <c r="A21" s="15">
        <v>19</v>
      </c>
      <c r="B21" s="14">
        <v>80</v>
      </c>
      <c r="C21" s="15">
        <v>1</v>
      </c>
      <c r="D21" s="15" t="str">
        <f>IF(B21="","",LOOKUP(B21,{0,50,100,200,350,500,700},{"区分外","2S","S","M","L","2L","3L"}))</f>
        <v>2S</v>
      </c>
      <c r="E21" s="14">
        <v>528</v>
      </c>
      <c r="F21" s="15">
        <v>1</v>
      </c>
      <c r="G21" s="15" t="str">
        <f>IF(E21="","",LOOKUP(E21,{0,50,100,200,350,500,700},{"区分外","2S","S","M","L","2L","3L"}))</f>
        <v>2L</v>
      </c>
    </row>
    <row r="22">
      <c r="A22" s="15">
        <v>20</v>
      </c>
      <c r="B22" s="14">
        <v>73</v>
      </c>
      <c r="C22" s="15">
        <v>1</v>
      </c>
      <c r="D22" s="15" t="str">
        <f>IF(B22="","",LOOKUP(B22,{0,50,100,200,350,500,700},{"区分外","2S","S","M","L","2L","3L"}))</f>
        <v>2S</v>
      </c>
      <c r="E22" s="14">
        <v>444</v>
      </c>
      <c r="F22" s="15">
        <v>1</v>
      </c>
      <c r="G22" s="15" t="str">
        <f>IF(E22="","",LOOKUP(E22,{0,50,100,200,350,500,700},{"区分外","2S","S","M","L","2L","3L"}))</f>
        <v>L</v>
      </c>
    </row>
    <row r="23">
      <c r="A23" s="15">
        <v>21</v>
      </c>
      <c r="B23" s="14">
        <v>46</v>
      </c>
      <c r="C23" s="15">
        <v>1</v>
      </c>
      <c r="D23" s="15" t="str">
        <f>IF(B23="","",LOOKUP(B23,{0,50,100,200,350,500,700},{"区分外","2S","S","M","L","2L","3L"}))</f>
        <v>区分外</v>
      </c>
      <c r="E23" s="14">
        <v>292</v>
      </c>
      <c r="F23" s="15">
        <v>1</v>
      </c>
      <c r="G23" s="15" t="str">
        <f>IF(E23="","",LOOKUP(E23,{0,50,100,200,350,500,700},{"区分外","2S","S","M","L","2L","3L"}))</f>
        <v>M</v>
      </c>
    </row>
    <row r="24">
      <c r="A24" s="15">
        <v>22</v>
      </c>
      <c r="B24" s="14">
        <v>51</v>
      </c>
      <c r="C24" s="15">
        <v>1</v>
      </c>
      <c r="D24" s="15" t="str">
        <f>IF(B24="","",LOOKUP(B24,{0,50,100,200,350,500,700},{"区分外","2S","S","M","L","2L","3L"}))</f>
        <v>2S</v>
      </c>
      <c r="E24" s="14">
        <v>413</v>
      </c>
      <c r="F24" s="15">
        <v>1</v>
      </c>
      <c r="G24" s="15" t="str">
        <f>IF(E24="","",LOOKUP(E24,{0,50,100,200,350,500,700},{"区分外","2S","S","M","L","2L","3L"}))</f>
        <v>L</v>
      </c>
    </row>
    <row r="25">
      <c r="A25" s="15">
        <v>23</v>
      </c>
      <c r="B25" s="14">
        <v>34</v>
      </c>
      <c r="C25" s="15">
        <v>1</v>
      </c>
      <c r="D25" s="15" t="str">
        <f>IF(B25="","",LOOKUP(B25,{0,50,100,200,350,500,700},{"区分外","2S","S","M","L","2L","3L"}))</f>
        <v>区分外</v>
      </c>
      <c r="E25" s="14">
        <v>254</v>
      </c>
      <c r="F25" s="15">
        <v>1</v>
      </c>
      <c r="G25" s="15" t="str">
        <f>IF(E25="","",LOOKUP(E25,{0,50,100,200,350,500,700},{"区分外","2S","S","M","L","2L","3L"}))</f>
        <v>M</v>
      </c>
    </row>
    <row r="26">
      <c r="A26" s="15">
        <v>24</v>
      </c>
      <c r="B26" s="14">
        <v>66</v>
      </c>
      <c r="C26" s="15">
        <v>1</v>
      </c>
      <c r="D26" s="15" t="str">
        <f>IF(B26="","",LOOKUP(B26,{0,50,100,200,350,500,700},{"区分外","2S","S","M","L","2L","3L"}))</f>
        <v>2S</v>
      </c>
      <c r="E26" s="14">
        <v>140</v>
      </c>
      <c r="F26" s="15">
        <v>1</v>
      </c>
      <c r="G26" s="15" t="str">
        <f>IF(E26="","",LOOKUP(E26,{0,50,100,200,350,500,700},{"区分外","2S","S","M","L","2L","3L"}))</f>
        <v>S</v>
      </c>
    </row>
    <row r="27">
      <c r="A27" s="15">
        <v>25</v>
      </c>
      <c r="B27" s="14">
        <v>147</v>
      </c>
      <c r="C27" s="15">
        <v>1</v>
      </c>
      <c r="D27" s="15" t="str">
        <f>IF(B27="","",LOOKUP(B27,{0,50,100,200,350,500,700},{"区分外","2S","S","M","L","2L","3L"}))</f>
        <v>S</v>
      </c>
      <c r="E27" s="14">
        <v>214</v>
      </c>
      <c r="F27" s="15">
        <v>1</v>
      </c>
      <c r="G27" s="15" t="str">
        <f>IF(E27="","",LOOKUP(E27,{0,50,100,200,350,500,700},{"区分外","2S","S","M","L","2L","3L"}))</f>
        <v>M</v>
      </c>
    </row>
    <row r="28">
      <c r="A28" s="15">
        <v>26</v>
      </c>
      <c r="B28" s="14">
        <v>116</v>
      </c>
      <c r="C28" s="15">
        <v>1</v>
      </c>
      <c r="D28" s="15" t="str">
        <f>IF(B28="","",LOOKUP(B28,{0,50,100,200,350,500,700},{"区分外","2S","S","M","L","2L","3L"}))</f>
        <v>S</v>
      </c>
      <c r="E28" s="14">
        <v>127</v>
      </c>
      <c r="F28" s="15">
        <v>1</v>
      </c>
      <c r="G28" s="15" t="str">
        <f>IF(E28="","",LOOKUP(E28,{0,50,100,200,350,500,700},{"区分外","2S","S","M","L","2L","3L"}))</f>
        <v>S</v>
      </c>
    </row>
    <row r="29">
      <c r="A29" s="15">
        <v>27</v>
      </c>
      <c r="B29" s="14">
        <v>336</v>
      </c>
      <c r="C29" s="15">
        <v>1</v>
      </c>
      <c r="D29" s="15" t="str">
        <f>IF(B29="","",LOOKUP(B29,{0,50,100,200,350,500,700},{"区分外","2S","S","M","L","2L","3L"}))</f>
        <v>M</v>
      </c>
      <c r="E29" s="14">
        <v>223</v>
      </c>
      <c r="F29" s="15">
        <v>1</v>
      </c>
      <c r="G29" s="15" t="str">
        <f>IF(E29="","",LOOKUP(E29,{0,50,100,200,350,500,700},{"区分外","2S","S","M","L","2L","3L"}))</f>
        <v>M</v>
      </c>
    </row>
    <row r="30">
      <c r="A30" s="15">
        <v>28</v>
      </c>
      <c r="B30" s="14">
        <v>349</v>
      </c>
      <c r="C30" s="15">
        <v>1</v>
      </c>
      <c r="D30" s="15" t="str">
        <f>IF(B30="","",LOOKUP(B30,{0,50,100,200,350,500,700},{"区分外","2S","S","M","L","2L","3L"}))</f>
        <v>M</v>
      </c>
      <c r="E30" s="14">
        <v>158</v>
      </c>
      <c r="F30" s="15">
        <v>1</v>
      </c>
      <c r="G30" s="15" t="str">
        <f>IF(E30="","",LOOKUP(E30,{0,50,100,200,350,500,700},{"区分外","2S","S","M","L","2L","3L"}))</f>
        <v>S</v>
      </c>
    </row>
    <row r="31">
      <c r="A31" s="15">
        <v>29</v>
      </c>
      <c r="B31" s="14">
        <v>150</v>
      </c>
      <c r="C31" s="15">
        <v>1</v>
      </c>
      <c r="D31" s="15" t="str">
        <f>IF(B31="","",LOOKUP(B31,{0,50,100,200,350,500,700},{"区分外","2S","S","M","L","2L","3L"}))</f>
        <v>S</v>
      </c>
      <c r="E31" s="14">
        <v>100</v>
      </c>
      <c r="F31" s="15">
        <v>1</v>
      </c>
      <c r="G31" s="15" t="str">
        <f>IF(E31="","",LOOKUP(E31,{0,50,100,200,350,500,700},{"区分外","2S","S","M","L","2L","3L"}))</f>
        <v>S</v>
      </c>
    </row>
    <row r="32">
      <c r="A32" s="15">
        <v>30</v>
      </c>
      <c r="B32" s="14">
        <v>212</v>
      </c>
      <c r="C32" s="15">
        <v>1</v>
      </c>
      <c r="D32" s="15" t="str">
        <f>IF(B32="","",LOOKUP(B32,{0,50,100,200,350,500,700},{"区分外","2S","S","M","L","2L","3L"}))</f>
        <v>M</v>
      </c>
      <c r="E32" s="14">
        <v>58</v>
      </c>
      <c r="F32" s="15">
        <v>1</v>
      </c>
      <c r="G32" s="15" t="str">
        <f>IF(E32="","",LOOKUP(E32,{0,50,100,200,350,500,700},{"区分外","2S","S","M","L","2L","3L"}))</f>
        <v>2S</v>
      </c>
    </row>
    <row r="33">
      <c r="A33" s="15">
        <v>31</v>
      </c>
      <c r="B33" s="14">
        <v>199</v>
      </c>
      <c r="C33" s="15">
        <v>1</v>
      </c>
      <c r="D33" s="15" t="str">
        <f>IF(B33="","",LOOKUP(B33,{0,50,100,200,350,500,700},{"区分外","2S","S","M","L","2L","3L"}))</f>
        <v>S</v>
      </c>
      <c r="E33" s="14">
        <v>97</v>
      </c>
      <c r="F33" s="15">
        <v>1</v>
      </c>
      <c r="G33" s="15" t="str">
        <f>IF(E33="","",LOOKUP(E33,{0,50,100,200,350,500,700},{"区分外","2S","S","M","L","2L","3L"}))</f>
        <v>2S</v>
      </c>
    </row>
    <row r="34">
      <c r="A34" s="15">
        <v>32</v>
      </c>
      <c r="B34" s="14">
        <v>257</v>
      </c>
      <c r="C34" s="15">
        <v>1</v>
      </c>
      <c r="D34" s="15" t="str">
        <f>IF(B34="","",LOOKUP(B34,{0,50,100,200,350,500,700},{"区分外","2S","S","M","L","2L","3L"}))</f>
        <v>M</v>
      </c>
      <c r="E34" s="14">
        <v>147</v>
      </c>
      <c r="F34" s="15">
        <v>1</v>
      </c>
      <c r="G34" s="15" t="str">
        <f>IF(E34="","",LOOKUP(E34,{0,50,100,200,350,500,700},{"区分外","2S","S","M","L","2L","3L"}))</f>
        <v>S</v>
      </c>
    </row>
    <row r="35">
      <c r="A35" s="15">
        <v>33</v>
      </c>
      <c r="B35" s="14">
        <v>199</v>
      </c>
      <c r="C35" s="15">
        <v>1</v>
      </c>
      <c r="D35" s="15" t="str">
        <f>IF(B35="","",LOOKUP(B35,{0,50,100,200,350,500,700},{"区分外","2S","S","M","L","2L","3L"}))</f>
        <v>S</v>
      </c>
      <c r="E35" s="14">
        <v>99</v>
      </c>
      <c r="F35" s="15">
        <v>1</v>
      </c>
      <c r="G35" s="15" t="str">
        <f>IF(E35="","",LOOKUP(E35,{0,50,100,200,350,500,700},{"区分外","2S","S","M","L","2L","3L"}))</f>
        <v>2S</v>
      </c>
    </row>
    <row r="36">
      <c r="A36" s="15">
        <v>34</v>
      </c>
      <c r="B36" s="14">
        <v>321</v>
      </c>
      <c r="C36" s="15">
        <v>1</v>
      </c>
      <c r="D36" s="15" t="str">
        <f>IF(B36="","",LOOKUP(B36,{0,50,100,200,350,500,700},{"区分外","2S","S","M","L","2L","3L"}))</f>
        <v>M</v>
      </c>
      <c r="E36" s="14">
        <v>154</v>
      </c>
      <c r="F36" s="15">
        <v>1</v>
      </c>
      <c r="G36" s="15" t="str">
        <f>IF(E36="","",LOOKUP(E36,{0,50,100,200,350,500,700},{"区分外","2S","S","M","L","2L","3L"}))</f>
        <v>S</v>
      </c>
    </row>
    <row r="37">
      <c r="A37" s="15">
        <v>35</v>
      </c>
      <c r="B37" s="14">
        <v>364</v>
      </c>
      <c r="C37" s="15">
        <v>1</v>
      </c>
      <c r="D37" s="15" t="str">
        <f>IF(B37="","",LOOKUP(B37,{0,50,100,200,350,500,700},{"区分外","2S","S","M","L","2L","3L"}))</f>
        <v>L</v>
      </c>
      <c r="E37" s="14">
        <v>57</v>
      </c>
      <c r="F37" s="15">
        <v>1</v>
      </c>
      <c r="G37" s="15" t="str">
        <f>IF(E37="","",LOOKUP(E37,{0,50,100,200,350,500,700},{"区分外","2S","S","M","L","2L","3L"}))</f>
        <v>2S</v>
      </c>
    </row>
    <row r="38">
      <c r="A38" s="15">
        <v>36</v>
      </c>
      <c r="B38" s="14">
        <v>298</v>
      </c>
      <c r="C38" s="15">
        <v>1</v>
      </c>
      <c r="D38" s="15" t="str">
        <f>IF(B38="","",LOOKUP(B38,{0,50,100,200,350,500,700},{"区分外","2S","S","M","L","2L","3L"}))</f>
        <v>M</v>
      </c>
      <c r="E38" s="14">
        <v>201</v>
      </c>
      <c r="F38" s="15">
        <v>1</v>
      </c>
      <c r="G38" s="15" t="str">
        <f>IF(E38="","",LOOKUP(E38,{0,50,100,200,350,500,700},{"区分外","2S","S","M","L","2L","3L"}))</f>
        <v>M</v>
      </c>
    </row>
    <row r="39">
      <c r="A39" s="15">
        <v>37</v>
      </c>
      <c r="B39" s="14">
        <v>199</v>
      </c>
      <c r="C39" s="15">
        <v>1</v>
      </c>
      <c r="D39" s="15" t="str">
        <f>IF(B39="","",LOOKUP(B39,{0,50,100,200,350,500,700},{"区分外","2S","S","M","L","2L","3L"}))</f>
        <v>S</v>
      </c>
      <c r="E39" s="14">
        <v>427</v>
      </c>
      <c r="F39" s="15">
        <v>1</v>
      </c>
      <c r="G39" s="15" t="str">
        <f>IF(E39="","",LOOKUP(E39,{0,50,100,200,350,500,700},{"区分外","2S","S","M","L","2L","3L"}))</f>
        <v>L</v>
      </c>
    </row>
    <row r="40">
      <c r="A40" s="15">
        <v>38</v>
      </c>
      <c r="B40" s="14">
        <v>428</v>
      </c>
      <c r="C40" s="15">
        <v>1</v>
      </c>
      <c r="D40" s="15" t="str">
        <f>IF(B40="","",LOOKUP(B40,{0,50,100,200,350,500,700},{"区分外","2S","S","M","L","2L","3L"}))</f>
        <v>L</v>
      </c>
      <c r="E40" s="14">
        <v>144</v>
      </c>
      <c r="F40" s="15">
        <v>1</v>
      </c>
      <c r="G40" s="15" t="str">
        <f>IF(E40="","",LOOKUP(E40,{0,50,100,200,350,500,700},{"区分外","2S","S","M","L","2L","3L"}))</f>
        <v>S</v>
      </c>
    </row>
    <row r="41">
      <c r="A41" s="15">
        <v>39</v>
      </c>
      <c r="B41" s="14">
        <v>241</v>
      </c>
      <c r="C41" s="15">
        <v>1</v>
      </c>
      <c r="D41" s="15" t="str">
        <f>IF(B41="","",LOOKUP(B41,{0,50,100,200,350,500,700},{"区分外","2S","S","M","L","2L","3L"}))</f>
        <v>M</v>
      </c>
      <c r="E41" s="14">
        <v>365</v>
      </c>
      <c r="F41" s="15">
        <v>1</v>
      </c>
      <c r="G41" s="15" t="str">
        <f>IF(E41="","",LOOKUP(E41,{0,50,100,200,350,500,700},{"区分外","2S","S","M","L","2L","3L"}))</f>
        <v>L</v>
      </c>
    </row>
    <row r="42">
      <c r="A42" s="15">
        <v>40</v>
      </c>
      <c r="B42" s="14">
        <v>177</v>
      </c>
      <c r="C42" s="15">
        <v>1</v>
      </c>
      <c r="D42" s="15" t="str">
        <f>IF(B42="","",LOOKUP(B42,{0,50,100,200,350,500,700},{"区分外","2S","S","M","L","2L","3L"}))</f>
        <v>S</v>
      </c>
      <c r="E42" s="14">
        <v>324</v>
      </c>
      <c r="F42" s="15">
        <v>1</v>
      </c>
      <c r="G42" s="15" t="str">
        <f>IF(E42="","",LOOKUP(E42,{0,50,100,200,350,500,700},{"区分外","2S","S","M","L","2L","3L"}))</f>
        <v>M</v>
      </c>
    </row>
    <row r="43">
      <c r="A43" s="15">
        <v>41</v>
      </c>
      <c r="B43" s="14">
        <v>121</v>
      </c>
      <c r="C43" s="15">
        <v>1</v>
      </c>
      <c r="D43" s="15" t="str">
        <f>IF(B43="","",LOOKUP(B43,{0,50,100,200,350,500,700},{"区分外","2S","S","M","L","2L","3L"}))</f>
        <v>S</v>
      </c>
      <c r="E43" s="14">
        <v>214</v>
      </c>
      <c r="F43" s="15">
        <v>1</v>
      </c>
      <c r="G43" s="15" t="str">
        <f>IF(E43="","",LOOKUP(E43,{0,50,100,200,350,500,700},{"区分外","2S","S","M","L","2L","3L"}))</f>
        <v>M</v>
      </c>
    </row>
    <row r="44">
      <c r="A44" s="15">
        <v>42</v>
      </c>
      <c r="B44" s="14">
        <v>184</v>
      </c>
      <c r="C44" s="15">
        <v>1</v>
      </c>
      <c r="D44" s="15" t="str">
        <f>IF(B44="","",LOOKUP(B44,{0,50,100,200,350,500,700},{"区分外","2S","S","M","L","2L","3L"}))</f>
        <v>S</v>
      </c>
      <c r="E44" s="14">
        <v>366</v>
      </c>
      <c r="F44" s="15">
        <v>1</v>
      </c>
      <c r="G44" s="15" t="str">
        <f>IF(E44="","",LOOKUP(E44,{0,50,100,200,350,500,700},{"区分外","2S","S","M","L","2L","3L"}))</f>
        <v>L</v>
      </c>
    </row>
    <row r="45">
      <c r="A45" s="15">
        <v>43</v>
      </c>
      <c r="B45" s="14">
        <v>118</v>
      </c>
      <c r="C45" s="15">
        <v>1</v>
      </c>
      <c r="D45" s="15" t="str">
        <f>IF(B45="","",LOOKUP(B45,{0,50,100,200,350,500,700},{"区分外","2S","S","M","L","2L","3L"}))</f>
        <v>S</v>
      </c>
      <c r="E45" s="14">
        <v>332</v>
      </c>
      <c r="F45" s="15">
        <v>1</v>
      </c>
      <c r="G45" s="15" t="str">
        <f>IF(E45="","",LOOKUP(E45,{0,50,100,200,350,500,700},{"区分外","2S","S","M","L","2L","3L"}))</f>
        <v>M</v>
      </c>
    </row>
    <row r="46">
      <c r="A46" s="15">
        <v>44</v>
      </c>
      <c r="B46" s="14">
        <v>70</v>
      </c>
      <c r="C46" s="15">
        <v>1</v>
      </c>
      <c r="D46" s="15" t="str">
        <f>IF(B46="","",LOOKUP(B46,{0,50,100,200,350,500,700},{"区分外","2S","S","M","L","2L","3L"}))</f>
        <v>2S</v>
      </c>
      <c r="E46" s="14">
        <v>414</v>
      </c>
      <c r="F46" s="15">
        <v>1</v>
      </c>
      <c r="G46" s="15" t="str">
        <f>IF(E46="","",LOOKUP(E46,{0,50,100,200,350,500,700},{"区分外","2S","S","M","L","2L","3L"}))</f>
        <v>L</v>
      </c>
    </row>
    <row r="47">
      <c r="A47" s="15">
        <v>45</v>
      </c>
      <c r="B47" s="14">
        <v>59</v>
      </c>
      <c r="C47" s="15">
        <v>1</v>
      </c>
      <c r="D47" s="15" t="str">
        <f>IF(B47="","",LOOKUP(B47,{0,50,100,200,350,500,700},{"区分外","2S","S","M","L","2L","3L"}))</f>
        <v>2S</v>
      </c>
      <c r="E47" s="14">
        <v>86</v>
      </c>
      <c r="F47" s="15">
        <v>1</v>
      </c>
      <c r="G47" s="15" t="str">
        <f>IF(E47="","",LOOKUP(E47,{0,50,100,200,350,500,700},{"区分外","2S","S","M","L","2L","3L"}))</f>
        <v>2S</v>
      </c>
    </row>
    <row r="48">
      <c r="A48" s="15">
        <v>46</v>
      </c>
      <c r="B48" s="14">
        <v>56</v>
      </c>
      <c r="C48" s="15">
        <v>1</v>
      </c>
      <c r="D48" s="15" t="str">
        <f>IF(B48="","",LOOKUP(B48,{0,50,100,200,350,500,700},{"区分外","2S","S","M","L","2L","3L"}))</f>
        <v>2S</v>
      </c>
      <c r="E48" s="14">
        <v>125</v>
      </c>
      <c r="F48" s="15">
        <v>1</v>
      </c>
      <c r="G48" s="15" t="str">
        <f>IF(E48="","",LOOKUP(E48,{0,50,100,200,350,500,700},{"区分外","2S","S","M","L","2L","3L"}))</f>
        <v>S</v>
      </c>
    </row>
    <row r="49">
      <c r="A49" s="15">
        <v>47</v>
      </c>
      <c r="B49" s="14">
        <v>51</v>
      </c>
      <c r="C49" s="15">
        <v>1</v>
      </c>
      <c r="D49" s="15" t="str">
        <f>IF(B49="","",LOOKUP(B49,{0,50,100,200,350,500,700},{"区分外","2S","S","M","L","2L","3L"}))</f>
        <v>2S</v>
      </c>
      <c r="E49" s="14">
        <v>105</v>
      </c>
      <c r="F49" s="15">
        <v>1</v>
      </c>
      <c r="G49" s="15" t="str">
        <f>IF(E49="","",LOOKUP(E49,{0,50,100,200,350,500,700},{"区分外","2S","S","M","L","2L","3L"}))</f>
        <v>S</v>
      </c>
    </row>
    <row r="50">
      <c r="A50" s="15">
        <v>48</v>
      </c>
      <c r="B50" s="14">
        <v>68</v>
      </c>
      <c r="C50" s="15">
        <v>1</v>
      </c>
      <c r="D50" s="15" t="str">
        <f>IF(B50="","",LOOKUP(B50,{0,50,100,200,350,500,700},{"区分外","2S","S","M","L","2L","3L"}))</f>
        <v>2S</v>
      </c>
      <c r="E50" s="14">
        <v>125</v>
      </c>
      <c r="F50" s="15">
        <v>1</v>
      </c>
      <c r="G50" s="15" t="str">
        <f>IF(E50="","",LOOKUP(E50,{0,50,100,200,350,500,700},{"区分外","2S","S","M","L","2L","3L"}))</f>
        <v>S</v>
      </c>
    </row>
    <row r="51">
      <c r="A51" s="15">
        <v>49</v>
      </c>
      <c r="B51" s="14">
        <v>420</v>
      </c>
      <c r="C51" s="15">
        <v>1</v>
      </c>
      <c r="D51" s="15" t="str">
        <f>IF(B51="","",LOOKUP(B51,{0,50,100,200,350,500,700},{"区分外","2S","S","M","L","2L","3L"}))</f>
        <v>L</v>
      </c>
      <c r="E51" s="14">
        <v>156</v>
      </c>
      <c r="F51" s="15">
        <v>1</v>
      </c>
      <c r="G51" s="15" t="str">
        <f>IF(E51="","",LOOKUP(E51,{0,50,100,200,350,500,700},{"区分外","2S","S","M","L","2L","3L"}))</f>
        <v>S</v>
      </c>
    </row>
    <row r="52">
      <c r="A52" s="15">
        <v>50</v>
      </c>
      <c r="B52" s="14">
        <v>250</v>
      </c>
      <c r="C52" s="15">
        <v>1</v>
      </c>
      <c r="D52" s="15" t="str">
        <f>IF(B52="","",LOOKUP(B52,{0,50,100,200,350,500,700},{"区分外","2S","S","M","L","2L","3L"}))</f>
        <v>M</v>
      </c>
      <c r="E52" s="14">
        <v>99</v>
      </c>
      <c r="F52" s="15">
        <v>1</v>
      </c>
      <c r="G52" s="15" t="str">
        <f>IF(E52="","",LOOKUP(E52,{0,50,100,200,350,500,700},{"区分外","2S","S","M","L","2L","3L"}))</f>
        <v>2S</v>
      </c>
    </row>
    <row r="53">
      <c r="A53" s="15">
        <v>51</v>
      </c>
      <c r="B53" s="14">
        <v>223</v>
      </c>
      <c r="C53" s="15">
        <v>1</v>
      </c>
      <c r="D53" s="15" t="str">
        <f>IF(B53="","",LOOKUP(B53,{0,50,100,200,350,500,700},{"区分外","2S","S","M","L","2L","3L"}))</f>
        <v>M</v>
      </c>
      <c r="E53" s="14"/>
      <c r="F53" s="15"/>
      <c r="G53" s="15" t="str">
        <f>IF(E53="","",LOOKUP(E53,{0,50,100,200,350,500,700},{"区分外","2S","S","M","L","2L","3L"}))</f>
        <v/>
      </c>
    </row>
    <row r="54">
      <c r="A54" s="15">
        <v>52</v>
      </c>
      <c r="B54" s="14">
        <v>317</v>
      </c>
      <c r="C54" s="15">
        <v>1</v>
      </c>
      <c r="D54" s="15" t="str">
        <f>IF(B54="","",LOOKUP(B54,{0,50,100,200,350,500,700},{"区分外","2S","S","M","L","2L","3L"}))</f>
        <v>M</v>
      </c>
      <c r="E54" s="14"/>
      <c r="F54" s="15"/>
      <c r="G54" s="15" t="str">
        <f>IF(E54="","",LOOKUP(E54,{0,50,100,200,350,500,700},{"区分外","2S","S","M","L","2L","3L"}))</f>
        <v/>
      </c>
    </row>
    <row r="55">
      <c r="A55" s="15">
        <v>53</v>
      </c>
      <c r="B55" s="14">
        <v>75</v>
      </c>
      <c r="C55" s="15">
        <v>1</v>
      </c>
      <c r="D55" s="15" t="str">
        <f>IF(B55="","",LOOKUP(B55,{0,50,100,200,350,500,700},{"区分外","2S","S","M","L","2L","3L"}))</f>
        <v>2S</v>
      </c>
      <c r="E55" s="14"/>
      <c r="F55" s="15"/>
      <c r="G55" s="15" t="str">
        <f>IF(E55="","",LOOKUP(E55,{0,50,100,200,350,500,700},{"区分外","2S","S","M","L","2L","3L"}))</f>
        <v/>
      </c>
    </row>
    <row r="56">
      <c r="A56" s="15">
        <v>54</v>
      </c>
      <c r="B56" s="14">
        <v>149</v>
      </c>
      <c r="C56" s="15">
        <v>1</v>
      </c>
      <c r="D56" s="15" t="str">
        <f>IF(B56="","",LOOKUP(B56,{0,50,100,200,350,500,700},{"区分外","2S","S","M","L","2L","3L"}))</f>
        <v>S</v>
      </c>
      <c r="E56" s="14"/>
      <c r="F56" s="15"/>
      <c r="G56" s="15" t="str">
        <f>IF(E56="","",LOOKUP(E56,{0,50,100,200,350,500,700},{"区分外","2S","S","M","L","2L","3L"}))</f>
        <v/>
      </c>
    </row>
    <row r="57">
      <c r="A57" s="15">
        <v>55</v>
      </c>
      <c r="B57" s="14">
        <v>117</v>
      </c>
      <c r="C57" s="15">
        <v>1</v>
      </c>
      <c r="D57" s="15" t="str">
        <f>IF(B57="","",LOOKUP(B57,{0,50,100,200,350,500,700},{"区分外","2S","S","M","L","2L","3L"}))</f>
        <v>S</v>
      </c>
      <c r="E57" s="14"/>
      <c r="F57" s="15"/>
      <c r="G57" s="15" t="str">
        <f>IF(E57="","",LOOKUP(E57,{0,50,100,200,350,500,700},{"区分外","2S","S","M","L","2L","3L"}))</f>
        <v/>
      </c>
    </row>
    <row r="58">
      <c r="A58" s="15">
        <v>56</v>
      </c>
      <c r="B58" s="14">
        <v>198</v>
      </c>
      <c r="C58" s="15">
        <v>1</v>
      </c>
      <c r="D58" s="15" t="str">
        <f>IF(B58="","",LOOKUP(B58,{0,50,100,200,350,500,700},{"区分外","2S","S","M","L","2L","3L"}))</f>
        <v>S</v>
      </c>
      <c r="E58" s="14"/>
      <c r="F58" s="15"/>
      <c r="G58" s="15" t="str">
        <f>IF(E58="","",LOOKUP(E58,{0,50,100,200,350,500,700},{"区分外","2S","S","M","L","2L","3L"}))</f>
        <v/>
      </c>
    </row>
    <row r="59">
      <c r="A59" s="15">
        <v>57</v>
      </c>
      <c r="B59" s="14">
        <v>117</v>
      </c>
      <c r="C59" s="15">
        <v>1</v>
      </c>
      <c r="D59" s="15" t="str">
        <f>IF(B59="","",LOOKUP(B59,{0,50,100,200,350,500,700},{"区分外","2S","S","M","L","2L","3L"}))</f>
        <v>S</v>
      </c>
      <c r="E59" s="14"/>
      <c r="F59" s="15"/>
      <c r="G59" s="15" t="str">
        <f>IF(E59="","",LOOKUP(E59,{0,50,100,200,350,500,700},{"区分外","2S","S","M","L","2L","3L"}))</f>
        <v/>
      </c>
    </row>
    <row r="60">
      <c r="A60" s="15">
        <v>58</v>
      </c>
      <c r="B60" s="14">
        <v>116</v>
      </c>
      <c r="C60" s="15">
        <v>1</v>
      </c>
      <c r="D60" s="15" t="str">
        <f>IF(B60="","",LOOKUP(B60,{0,50,100,200,350,500,700},{"区分外","2S","S","M","L","2L","3L"}))</f>
        <v>S</v>
      </c>
      <c r="E60" s="14"/>
      <c r="F60" s="15"/>
      <c r="G60" s="15" t="str">
        <f>IF(E60="","",LOOKUP(E60,{0,50,100,200,350,500,700},{"区分外","2S","S","M","L","2L","3L"}))</f>
        <v/>
      </c>
    </row>
    <row r="61">
      <c r="A61" s="15">
        <v>59</v>
      </c>
      <c r="B61" s="14">
        <v>102</v>
      </c>
      <c r="C61" s="15">
        <v>1</v>
      </c>
      <c r="D61" s="15" t="str">
        <f>IF(B61="","",LOOKUP(B61,{0,50,100,200,350,500,700},{"区分外","2S","S","M","L","2L","3L"}))</f>
        <v>S</v>
      </c>
      <c r="E61" s="14"/>
      <c r="F61" s="15"/>
      <c r="G61" s="15" t="str">
        <f>IF(E61="","",LOOKUP(E61,{0,50,100,200,350,500,700},{"区分外","2S","S","M","L","2L","3L"}))</f>
        <v/>
      </c>
    </row>
    <row r="62">
      <c r="A62" s="15">
        <v>60</v>
      </c>
      <c r="B62" s="14">
        <v>146</v>
      </c>
      <c r="C62" s="15">
        <v>1</v>
      </c>
      <c r="D62" s="15" t="str">
        <f>IF(B62="","",LOOKUP(B62,{0,50,100,200,350,500,700},{"区分外","2S","S","M","L","2L","3L"}))</f>
        <v>S</v>
      </c>
      <c r="E62" s="14"/>
      <c r="F62" s="15"/>
      <c r="G62" s="15" t="str">
        <f>IF(E62="","",LOOKUP(E62,{0,50,100,200,350,500,700},{"区分外","2S","S","M","L","2L","3L"}))</f>
        <v/>
      </c>
    </row>
    <row r="63">
      <c r="A63" s="15">
        <v>61</v>
      </c>
      <c r="B63" s="14">
        <v>149</v>
      </c>
      <c r="C63" s="15">
        <v>1</v>
      </c>
      <c r="D63" s="15" t="str">
        <f>IF(B63="","",LOOKUP(B63,{0,50,100,200,350,500,700},{"区分外","2S","S","M","L","2L","3L"}))</f>
        <v>S</v>
      </c>
      <c r="E63" s="14"/>
      <c r="F63" s="15"/>
      <c r="G63" s="15" t="str">
        <f>IF(E63="","",LOOKUP(E63,{0,50,100,200,350,500,700},{"区分外","2S","S","M","L","2L","3L"}))</f>
        <v/>
      </c>
    </row>
    <row r="64">
      <c r="A64" s="15">
        <v>62</v>
      </c>
      <c r="B64" s="14">
        <v>497</v>
      </c>
      <c r="C64" s="15">
        <v>1</v>
      </c>
      <c r="D64" s="15" t="str">
        <f>IF(B64="","",LOOKUP(B64,{0,50,100,200,350,500,700},{"区分外","2S","S","M","L","2L","3L"}))</f>
        <v>L</v>
      </c>
      <c r="E64" s="14"/>
      <c r="F64" s="15"/>
      <c r="G64" s="15" t="str">
        <f>IF(E64="","",LOOKUP(E64,{0,50,100,200,350,500,700},{"区分外","2S","S","M","L","2L","3L"}))</f>
        <v/>
      </c>
    </row>
    <row r="65">
      <c r="A65" s="15">
        <v>63</v>
      </c>
      <c r="B65" s="14">
        <v>341</v>
      </c>
      <c r="C65" s="15">
        <v>1</v>
      </c>
      <c r="D65" s="15" t="str">
        <f>IF(B65="","",LOOKUP(B65,{0,50,100,200,350,500,700},{"区分外","2S","S","M","L","2L","3L"}))</f>
        <v>M</v>
      </c>
      <c r="E65" s="14"/>
      <c r="F65" s="15"/>
      <c r="G65" s="15" t="str">
        <f>IF(E65="","",LOOKUP(E65,{0,50,100,200,350,500,700},{"区分外","2S","S","M","L","2L","3L"}))</f>
        <v/>
      </c>
    </row>
    <row r="66">
      <c r="A66" s="15">
        <v>64</v>
      </c>
      <c r="B66" s="14">
        <v>100</v>
      </c>
      <c r="C66" s="15">
        <v>1</v>
      </c>
      <c r="D66" s="15" t="str">
        <f>IF(B66="","",LOOKUP(B66,{0,50,100,200,350,500,700},{"区分外","2S","S","M","L","2L","3L"}))</f>
        <v>S</v>
      </c>
      <c r="E66" s="14"/>
      <c r="F66" s="15"/>
      <c r="G66" s="15" t="str">
        <f>IF(E66="","",LOOKUP(E66,{0,50,100,200,350,500,700},{"区分外","2S","S","M","L","2L","3L"}))</f>
        <v/>
      </c>
    </row>
    <row r="67">
      <c r="A67" s="15">
        <v>65</v>
      </c>
      <c r="B67" s="14">
        <v>105</v>
      </c>
      <c r="C67" s="15">
        <v>1</v>
      </c>
      <c r="D67" s="15" t="str">
        <f>IF(B67="","",LOOKUP(B67,{0,50,100,200,350,500,700},{"区分外","2S","S","M","L","2L","3L"}))</f>
        <v>S</v>
      </c>
      <c r="E67" s="14"/>
      <c r="F67" s="15"/>
      <c r="G67" s="15" t="str">
        <f>IF(E67="","",LOOKUP(E67,{0,50,100,200,350,500,700},{"区分外","2S","S","M","L","2L","3L"}))</f>
        <v/>
      </c>
    </row>
    <row r="68">
      <c r="A68" s="15">
        <v>66</v>
      </c>
      <c r="B68" s="14">
        <v>58</v>
      </c>
      <c r="C68" s="15">
        <v>1</v>
      </c>
      <c r="D68" s="15" t="str">
        <f>IF(B68="","",LOOKUP(B68,{0,50,100,200,350,500,700},{"区分外","2S","S","M","L","2L","3L"}))</f>
        <v>2S</v>
      </c>
      <c r="E68" s="14"/>
      <c r="F68" s="15"/>
      <c r="G68" s="15" t="str">
        <f>IF(E68="","",LOOKUP(E68,{0,50,100,200,350,500,700},{"区分外","2S","S","M","L","2L","3L"}))</f>
        <v/>
      </c>
    </row>
    <row r="69">
      <c r="A69" s="15">
        <v>67</v>
      </c>
      <c r="B69" s="14">
        <v>78</v>
      </c>
      <c r="C69" s="15">
        <v>1</v>
      </c>
      <c r="D69" s="15" t="str">
        <f>IF(B69="","",LOOKUP(B69,{0,50,100,200,350,500,700},{"区分外","2S","S","M","L","2L","3L"}))</f>
        <v>2S</v>
      </c>
      <c r="E69" s="14"/>
      <c r="F69" s="15"/>
      <c r="G69" s="15" t="str">
        <f>IF(E69="","",LOOKUP(E69,{0,50,100,200,350,500,700},{"区分外","2S","S","M","L","2L","3L"}))</f>
        <v/>
      </c>
    </row>
    <row r="70">
      <c r="A70" s="15">
        <v>68</v>
      </c>
      <c r="B70" s="14">
        <v>108</v>
      </c>
      <c r="C70" s="15">
        <v>1</v>
      </c>
      <c r="D70" s="15" t="str">
        <f>IF(B70="","",LOOKUP(B70,{0,50,100,200,350,500,700},{"区分外","2S","S","M","L","2L","3L"}))</f>
        <v>S</v>
      </c>
      <c r="E70" s="14"/>
      <c r="F70" s="15"/>
      <c r="G70" s="15" t="str">
        <f>IF(E70="","",LOOKUP(E70,{0,50,100,200,350,500,700},{"区分外","2S","S","M","L","2L","3L"}))</f>
        <v/>
      </c>
    </row>
    <row r="71">
      <c r="A71" s="15">
        <v>69</v>
      </c>
      <c r="B71" s="14">
        <v>104</v>
      </c>
      <c r="C71" s="15">
        <v>1</v>
      </c>
      <c r="D71" s="15" t="str">
        <f>IF(B71="","",LOOKUP(B71,{0,50,100,200,350,500,700},{"区分外","2S","S","M","L","2L","3L"}))</f>
        <v>S</v>
      </c>
      <c r="E71" s="14"/>
      <c r="F71" s="15"/>
      <c r="G71" s="15" t="str">
        <f>IF(E71="","",LOOKUP(E71,{0,50,100,200,350,500,700},{"区分外","2S","S","M","L","2L","3L"}))</f>
        <v/>
      </c>
    </row>
    <row r="72">
      <c r="A72" s="15">
        <v>70</v>
      </c>
      <c r="B72" s="14">
        <v>120</v>
      </c>
      <c r="C72" s="15">
        <v>1</v>
      </c>
      <c r="D72" s="15" t="str">
        <f>IF(B72="","",LOOKUP(B72,{0,50,100,200,350,500,700},{"区分外","2S","S","M","L","2L","3L"}))</f>
        <v>S</v>
      </c>
      <c r="E72" s="14"/>
      <c r="F72" s="15"/>
      <c r="G72" s="15" t="str">
        <f>IF(E72="","",LOOKUP(E72,{0,50,100,200,350,500,700},{"区分外","2S","S","M","L","2L","3L"}))</f>
        <v/>
      </c>
    </row>
    <row r="73">
      <c r="A73" s="15">
        <v>71</v>
      </c>
      <c r="B73" s="14">
        <v>720</v>
      </c>
      <c r="C73" s="15">
        <v>1</v>
      </c>
      <c r="D73" s="15" t="str">
        <f>IF(B73="","",LOOKUP(B73,{0,50,100,200,350,500,700},{"区分外","2S","S","M","L","2L","3L"}))</f>
        <v>3L</v>
      </c>
      <c r="E73" s="14"/>
      <c r="F73" s="15"/>
      <c r="G73" s="15" t="str">
        <f>IF(E73="","",LOOKUP(E73,{0,50,100,200,350,500,700},{"区分外","2S","S","M","L","2L","3L"}))</f>
        <v/>
      </c>
    </row>
  </sheetData>
  <mergeCells count="3">
    <mergeCell ref="A1:A2"/>
    <mergeCell ref="B1:D1"/>
    <mergeCell ref="E1:G1"/>
  </mergeCell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.75"/>
  <cols>
    <col min="1" max="1" width="16" customWidth="1"/>
    <col min="2" max="2" width="12" customWidth="1"/>
    <col min="3" max="3" width="9" customWidth="1"/>
    <col min="4" max="4" width="9" customWidth="1"/>
    <col min="5" max="5" width="11" customWidth="1"/>
    <col min="6" max="6" width="9" customWidth="1"/>
    <col min="7" max="7" width="9" customWidth="1"/>
    <col min="8" max="8" width="11" customWidth="1"/>
  </cols>
  <sheetData>
    <row r="1">
      <c r="A1" s="1" t="inlineStr">
        <is>
          <t xml:space="preserve">形量区分（等級）別 集計</t>
        </is>
      </c>
    </row>
    <row r="2">
      <c r="A2" s="10" t="inlineStr">
        <is>
          <t xml:space="preserve">掘り取り 5株／区。重量の境界値は上の規格に含みます（50g→2S、700g→3L）。本数は「重量データ」シートから自動計算されます。</t>
        </is>
      </c>
    </row>
    <row r="4">
      <c r="A4" s="2" t="inlineStr">
        <is>
          <t xml:space="preserve">等級</t>
        </is>
      </c>
      <c r="B4" s="2" t="inlineStr">
        <is>
          <t xml:space="preserve">重量範囲</t>
        </is>
      </c>
      <c r="C4" s="2" t="inlineStr">
        <is>
          <t xml:space="preserve">試験区</t>
        </is>
      </c>
      <c r="D4" s="2"/>
      <c r="E4" s="2"/>
      <c r="F4" s="2" t="inlineStr">
        <is>
          <t xml:space="preserve">対照区</t>
        </is>
      </c>
      <c r="G4" s="2"/>
      <c r="H4" s="2"/>
    </row>
    <row r="5">
      <c r="A5" s="2"/>
      <c r="B5" s="2"/>
      <c r="C5" s="2" t="inlineStr">
        <is>
          <t xml:space="preserve">本数</t>
        </is>
      </c>
      <c r="D5" s="2" t="inlineStr">
        <is>
          <t xml:space="preserve">比率</t>
        </is>
      </c>
      <c r="E5" s="2" t="inlineStr">
        <is>
          <t xml:space="preserve">重量(g)</t>
        </is>
      </c>
      <c r="F5" s="2" t="inlineStr">
        <is>
          <t xml:space="preserve">本数</t>
        </is>
      </c>
      <c r="G5" s="2" t="inlineStr">
        <is>
          <t xml:space="preserve">比率</t>
        </is>
      </c>
      <c r="H5" s="2" t="inlineStr">
        <is>
          <t xml:space="preserve">重量(g)</t>
        </is>
      </c>
    </row>
    <row r="6">
      <c r="A6" s="15" t="inlineStr">
        <is>
          <t xml:space="preserve">3L</t>
        </is>
      </c>
      <c r="B6" s="15" t="inlineStr">
        <is>
          <t xml:space="preserve">700g以上</t>
        </is>
      </c>
      <c r="C6" s="4">
        <f>COUNTIFS('重量データ'!$B:$B,"&gt;=700")</f>
        <v>1</v>
      </c>
      <c r="D6" s="6">
        <f>IF($C$13=0,"",C6/$C$13)</f>
        <v>0.014084507042253521</v>
      </c>
      <c r="E6" s="4">
        <f>SUMIFS('重量データ'!$B:$B,'重量データ'!$B:$B,"&gt;=700")</f>
        <v>720</v>
      </c>
      <c r="F6" s="4">
        <f>COUNTIFS('重量データ'!$E:$E,"&gt;=700")</f>
        <v>0</v>
      </c>
      <c r="G6" s="6">
        <f>IF($F$13=0,"",F6/$F$13)</f>
        <v>0</v>
      </c>
      <c r="H6" s="4">
        <f>SUMIFS('重量データ'!$E:$E,'重量データ'!$E:$E,"&gt;=700")</f>
        <v>0</v>
      </c>
    </row>
    <row r="7">
      <c r="A7" s="15" t="inlineStr">
        <is>
          <t xml:space="preserve">2L</t>
        </is>
      </c>
      <c r="B7" s="15" t="inlineStr">
        <is>
          <t xml:space="preserve">500–700g</t>
        </is>
      </c>
      <c r="C7" s="4">
        <f>COUNTIFS('重量データ'!$B:$B,"&gt;=500",'重量データ'!$B:$B,"&lt;700")</f>
        <v>0</v>
      </c>
      <c r="D7" s="6">
        <f>IF($C$13=0,"",C7/$C$13)</f>
        <v>0</v>
      </c>
      <c r="E7" s="4">
        <f>SUMIFS('重量データ'!$B:$B,'重量データ'!$B:$B,"&gt;=500",'重量データ'!$B:$B,"&lt;700")</f>
        <v>0</v>
      </c>
      <c r="F7" s="4">
        <f>COUNTIFS('重量データ'!$E:$E,"&gt;=500",'重量データ'!$E:$E,"&lt;700")</f>
        <v>3</v>
      </c>
      <c r="G7" s="6">
        <f>IF($F$13=0,"",F7/$F$13)</f>
        <v>0.06</v>
      </c>
      <c r="H7" s="4">
        <f>SUMIFS('重量データ'!$E:$E,'重量データ'!$E:$E,"&gt;=500",'重量データ'!$E:$E,"&lt;700")</f>
        <v>1647</v>
      </c>
    </row>
    <row r="8">
      <c r="A8" s="15" t="inlineStr">
        <is>
          <t xml:space="preserve">L</t>
        </is>
      </c>
      <c r="B8" s="15" t="inlineStr">
        <is>
          <t xml:space="preserve">350–500g</t>
        </is>
      </c>
      <c r="C8" s="4">
        <f>COUNTIFS('重量データ'!$B:$B,"&gt;=350",'重量データ'!$B:$B,"&lt;500")</f>
        <v>7</v>
      </c>
      <c r="D8" s="6">
        <f>IF($C$13=0,"",C8/$C$13)</f>
        <v>0.09859154929577464</v>
      </c>
      <c r="E8" s="4">
        <f>SUMIFS('重量データ'!$B:$B,'重量データ'!$B:$B,"&gt;=350",'重量データ'!$B:$B,"&lt;500")</f>
        <v>3025</v>
      </c>
      <c r="F8" s="4">
        <f>COUNTIFS('重量データ'!$E:$E,"&gt;=350",'重量データ'!$E:$E,"&lt;500")</f>
        <v>9</v>
      </c>
      <c r="G8" s="6">
        <f>IF($F$13=0,"",F8/$F$13)</f>
        <v>0.18</v>
      </c>
      <c r="H8" s="4">
        <f>SUMIFS('重量データ'!$E:$E,'重量データ'!$E:$E,"&gt;=350",'重量データ'!$E:$E,"&lt;500")</f>
        <v>3698</v>
      </c>
    </row>
    <row r="9">
      <c r="A9" s="15" t="inlineStr">
        <is>
          <t xml:space="preserve">M</t>
        </is>
      </c>
      <c r="B9" s="15" t="inlineStr">
        <is>
          <t xml:space="preserve">200–350g</t>
        </is>
      </c>
      <c r="C9" s="4">
        <f>COUNTIFS('重量データ'!$B:$B,"&gt;=200",'重量データ'!$B:$B,"&lt;350")</f>
        <v>13</v>
      </c>
      <c r="D9" s="6">
        <f>IF($C$13=0,"",C9/$C$13)</f>
        <v>0.18309859154929578</v>
      </c>
      <c r="E9" s="4">
        <f>SUMIFS('重量データ'!$B:$B,'重量データ'!$B:$B,"&gt;=200",'重量データ'!$B:$B,"&lt;350")</f>
        <v>3558</v>
      </c>
      <c r="F9" s="4">
        <f>COUNTIFS('重量データ'!$E:$E,"&gt;=200",'重量データ'!$E:$E,"&lt;350")</f>
        <v>11</v>
      </c>
      <c r="G9" s="6">
        <f>IF($F$13=0,"",F9/$F$13)</f>
        <v>0.22</v>
      </c>
      <c r="H9" s="4">
        <f>SUMIFS('重量データ'!$E:$E,'重量データ'!$E:$E,"&gt;=200",'重量データ'!$E:$E,"&lt;350")</f>
        <v>2743</v>
      </c>
    </row>
    <row r="10">
      <c r="A10" s="15" t="inlineStr">
        <is>
          <t xml:space="preserve">S</t>
        </is>
      </c>
      <c r="B10" s="15" t="inlineStr">
        <is>
          <t xml:space="preserve">100–200g</t>
        </is>
      </c>
      <c r="C10" s="4">
        <f>COUNTIFS('重量データ'!$B:$B,"&gt;=100",'重量データ'!$B:$B,"&lt;200")</f>
        <v>32</v>
      </c>
      <c r="D10" s="6">
        <f>IF($C$13=0,"",C10/$C$13)</f>
        <v>0.4507042253521127</v>
      </c>
      <c r="E10" s="4">
        <f>SUMIFS('重量データ'!$B:$B,'重量データ'!$B:$B,"&gt;=100",'重量データ'!$B:$B,"&lt;200")</f>
        <v>4599</v>
      </c>
      <c r="F10" s="4">
        <f>COUNTIFS('重量データ'!$E:$E,"&gt;=100",'重量データ'!$E:$E,"&lt;200")</f>
        <v>18</v>
      </c>
      <c r="G10" s="6">
        <f>IF($F$13=0,"",F10/$F$13)</f>
        <v>0.36</v>
      </c>
      <c r="H10" s="4">
        <f>SUMIFS('重量データ'!$E:$E,'重量データ'!$E:$E,"&gt;=100",'重量データ'!$E:$E,"&lt;200")</f>
        <v>2413</v>
      </c>
    </row>
    <row r="11">
      <c r="A11" s="15" t="inlineStr">
        <is>
          <t xml:space="preserve">2S</t>
        </is>
      </c>
      <c r="B11" s="15" t="inlineStr">
        <is>
          <t xml:space="preserve">50–100g</t>
        </is>
      </c>
      <c r="C11" s="4">
        <f>COUNTIFS('重量データ'!$B:$B,"&gt;=50",'重量データ'!$B:$B,"&lt;100")</f>
        <v>16</v>
      </c>
      <c r="D11" s="6">
        <f>IF($C$13=0,"",C11/$C$13)</f>
        <v>0.22535211267605634</v>
      </c>
      <c r="E11" s="4">
        <f>SUMIFS('重量データ'!$B:$B,'重量データ'!$B:$B,"&gt;=50",'重量データ'!$B:$B,"&lt;100")</f>
        <v>1054</v>
      </c>
      <c r="F11" s="4">
        <f>COUNTIFS('重量データ'!$E:$E,"&gt;=50",'重量データ'!$E:$E,"&lt;100")</f>
        <v>9</v>
      </c>
      <c r="G11" s="6">
        <f>IF($F$13=0,"",F11/$F$13)</f>
        <v>0.18</v>
      </c>
      <c r="H11" s="4">
        <f>SUMIFS('重量データ'!$E:$E,'重量データ'!$E:$E,"&gt;=50",'重量データ'!$E:$E,"&lt;100")</f>
        <v>712</v>
      </c>
    </row>
    <row r="12">
      <c r="A12" s="15" t="inlineStr">
        <is>
          <t xml:space="preserve">区分外</t>
        </is>
      </c>
      <c r="B12" s="15" t="inlineStr">
        <is>
          <t xml:space="preserve">0–50g</t>
        </is>
      </c>
      <c r="C12" s="4">
        <f>COUNTIFS('重量データ'!$B:$B,"&gt;=0",'重量データ'!$B:$B,"&lt;50")</f>
        <v>2</v>
      </c>
      <c r="D12" s="6">
        <f>IF($C$13=0,"",C12/$C$13)</f>
        <v>0.028169014084507043</v>
      </c>
      <c r="E12" s="4">
        <f>SUMIFS('重量データ'!$B:$B,'重量データ'!$B:$B,"&gt;=0",'重量データ'!$B:$B,"&lt;50")</f>
        <v>80</v>
      </c>
      <c r="F12" s="4">
        <f>COUNTIFS('重量データ'!$E:$E,"&gt;=0",'重量データ'!$E:$E,"&lt;50")</f>
        <v>0</v>
      </c>
      <c r="G12" s="6">
        <f>IF($F$13=0,"",F12/$F$13)</f>
        <v>0</v>
      </c>
      <c r="H12" s="4">
        <f>SUMIFS('重量データ'!$E:$E,'重量データ'!$E:$E,"&gt;=0",'重量データ'!$E:$E,"&lt;50")</f>
        <v>0</v>
      </c>
    </row>
    <row r="13">
      <c r="A13" s="7" t="inlineStr">
        <is>
          <t xml:space="preserve">計</t>
        </is>
      </c>
      <c r="B13" s="7"/>
      <c r="C13" s="8">
        <f>SUM(C6:C12)</f>
        <v>71</v>
      </c>
      <c r="D13" s="9">
        <f>IF(C13=0,"",SUM(D6:D12))</f>
        <v>1</v>
      </c>
      <c r="E13" s="8">
        <f>SUM(E6:E12)</f>
        <v>13036</v>
      </c>
      <c r="F13" s="8">
        <f>SUM(F6:F12)</f>
        <v>50</v>
      </c>
      <c r="G13" s="9">
        <f>IF(F13=0,"",SUM(G6:G12))</f>
        <v>1</v>
      </c>
      <c r="H13" s="8">
        <f>SUM(H6:H12)</f>
        <v>11213</v>
      </c>
    </row>
    <row r="15">
      <c r="A15" s="2" t="inlineStr">
        <is>
          <t xml:space="preserve">項目</t>
        </is>
      </c>
      <c r="B15" s="2" t="inlineStr">
        <is>
          <t xml:space="preserve">単位</t>
        </is>
      </c>
      <c r="C15" s="2" t="inlineStr">
        <is>
          <t xml:space="preserve">試験区</t>
        </is>
      </c>
      <c r="D15" s="2" t="inlineStr">
        <is>
          <t xml:space="preserve">対照区</t>
        </is>
      </c>
    </row>
    <row r="16">
      <c r="A16" s="3" t="inlineStr">
        <is>
          <t xml:space="preserve">総本数</t>
        </is>
      </c>
      <c r="B16" s="15" t="inlineStr">
        <is>
          <t xml:space="preserve">本</t>
        </is>
      </c>
      <c r="C16" s="4">
        <f>$C$13</f>
        <v>71</v>
      </c>
      <c r="D16" s="4">
        <f>$F$13</f>
        <v>50</v>
      </c>
    </row>
    <row r="17">
      <c r="A17" s="3" t="inlineStr">
        <is>
          <t xml:space="preserve">総重量</t>
        </is>
      </c>
      <c r="B17" s="15" t="inlineStr">
        <is>
          <t xml:space="preserve">g</t>
        </is>
      </c>
      <c r="C17" s="4">
        <f>$E$13</f>
        <v>13036</v>
      </c>
      <c r="D17" s="4">
        <f>$H$13</f>
        <v>11213</v>
      </c>
    </row>
    <row r="18">
      <c r="A18" s="3" t="inlineStr">
        <is>
          <t xml:space="preserve">平均一本重</t>
        </is>
      </c>
      <c r="B18" s="15" t="inlineStr">
        <is>
          <t xml:space="preserve">g</t>
        </is>
      </c>
      <c r="C18" s="5">
        <f>IF($C$13=0,"",AVERAGE('重量データ'!$B:$B))</f>
        <v>183.6056338028169</v>
      </c>
      <c r="D18" s="5">
        <f>IF($F$13=0,"",AVERAGE('重量データ'!$E:$E))</f>
        <v>224.26</v>
      </c>
    </row>
    <row r="19">
      <c r="A19" s="3" t="inlineStr">
        <is>
          <t xml:space="preserve">標準偏差</t>
        </is>
      </c>
      <c r="B19" s="15" t="inlineStr">
        <is>
          <t xml:space="preserve">g</t>
        </is>
      </c>
      <c r="C19" s="5">
        <f>IF($C$13=0,"",_xlfn.STDEV.P('重量データ'!$B:$B))</f>
        <v>131.41060034773918</v>
      </c>
      <c r="D19" s="5">
        <f>IF($F$13=0,"",_xlfn.STDEV.P('重量データ'!$E:$E))</f>
        <v>142.68746406044227</v>
      </c>
    </row>
    <row r="20">
      <c r="A20" s="3" t="inlineStr">
        <is>
          <t xml:space="preserve">1株当たり本数</t>
        </is>
      </c>
      <c r="B20" s="15" t="inlineStr">
        <is>
          <t xml:space="preserve">本</t>
        </is>
      </c>
      <c r="C20" s="5">
        <f>IF(N('試験情報'!$B$10)=0,"",$C$13/'試験情報'!$B$10)</f>
        <v>14.2</v>
      </c>
      <c r="D20" s="5">
        <f>IF(N('試験情報'!$B$10)=0,"",$F$13/'試験情報'!$B$10)</f>
        <v>10</v>
      </c>
    </row>
    <row r="21">
      <c r="A21" s="3" t="inlineStr">
        <is>
          <t xml:space="preserve">1株当たり重量</t>
        </is>
      </c>
      <c r="B21" s="15" t="inlineStr">
        <is>
          <t xml:space="preserve">g</t>
        </is>
      </c>
      <c r="C21" s="5">
        <f>IF(N('試験情報'!$B$10)=0,"",$E$13/'試験情報'!$B$10)</f>
        <v>2607.2</v>
      </c>
      <c r="D21" s="5">
        <f>IF(N('試験情報'!$B$10)=0,"",$H$13/'試験情報'!$B$10)</f>
        <v>2242.6</v>
      </c>
    </row>
    <row r="22">
      <c r="A22" s="3" t="inlineStr">
        <is>
          <t xml:space="preserve">10a換算収量</t>
        </is>
      </c>
      <c r="B22" s="15" t="inlineStr">
        <is>
          <t xml:space="preserve">kg/10a</t>
        </is>
      </c>
      <c r="C22" s="5" t="str">
        <f>IF(OR(N('試験情報'!$B$10)=0,N('試験情報'!$B$11)=0),"",$E$13/'試験情報'!$B$10*'試験情報'!$B$11/1000)</f>
        <v/>
      </c>
      <c r="D22" s="5" t="str">
        <f>IF(OR(N('試験情報'!$B$10)=0,N('試験情報'!$B$11)=0),"",$H$13/'試験情報'!$B$10*'試験情報'!$B$11/1000)</f>
        <v/>
      </c>
    </row>
    <row r="24">
      <c r="A24" s="12" t="inlineStr">
        <is>
          <t xml:space="preserve">対照区比（対照区＝100）</t>
        </is>
      </c>
      <c r="B24" s="2"/>
      <c r="C24" s="2" t="inlineStr">
        <is>
          <t xml:space="preserve">試験区</t>
        </is>
      </c>
      <c r="D24" s="2" t="inlineStr">
        <is>
          <t xml:space="preserve">対照区</t>
        </is>
      </c>
    </row>
    <row r="25">
      <c r="A25" s="3" t="inlineStr">
        <is>
          <t xml:space="preserve">本数</t>
        </is>
      </c>
      <c r="B25" s="3"/>
      <c r="C25" s="5">
        <f>IFERROR($C$16/$D$16*100,"")</f>
        <v>142</v>
      </c>
      <c r="D25" s="5">
        <f>IFERROR($D$16/$D$16*100,"")</f>
        <v>100</v>
      </c>
    </row>
    <row r="26">
      <c r="A26" s="3" t="inlineStr">
        <is>
          <t xml:space="preserve">総重量</t>
        </is>
      </c>
      <c r="B26" s="3"/>
      <c r="C26" s="5">
        <f>IFERROR($C$17/$D$17*100,"")</f>
        <v>116.25791492018193</v>
      </c>
      <c r="D26" s="5">
        <f>IFERROR($D$17/$D$17*100,"")</f>
        <v>100</v>
      </c>
    </row>
    <row r="27">
      <c r="A27" s="3" t="inlineStr">
        <is>
          <t xml:space="preserve">平均一本重</t>
        </is>
      </c>
      <c r="B27" s="3"/>
      <c r="C27" s="5">
        <f>IFERROR($C$18/$D$18*100,"")</f>
        <v>81.87177107055066</v>
      </c>
      <c r="D27" s="5">
        <f>IFERROR($D$18/$D$18*100,"")</f>
        <v>100</v>
      </c>
    </row>
    <row r="28">
      <c r="A28" s="3" t="inlineStr">
        <is>
          <t xml:space="preserve">M以上 本数</t>
        </is>
      </c>
      <c r="B28" s="3"/>
      <c r="C28" s="5">
        <f>IFERROR(SUM($C$6:$C$9)/SUM($F$6:$F$9)*100,"")</f>
        <v>91.30434782608695</v>
      </c>
      <c r="D28" s="5">
        <f>IFERROR(SUM($F$6:$F$9)/SUM($F$6:$F$9)*100,"")</f>
        <v>100</v>
      </c>
    </row>
  </sheetData>
  <mergeCells count="4">
    <mergeCell ref="A4:A5"/>
    <mergeCell ref="B4:B5"/>
    <mergeCell ref="C4:E4"/>
    <mergeCell ref="F4:H4"/>
  </mergeCells>
  <pageMargins left="0.7" right="0.7" top="0.75" bottom="0.7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.75"/>
  <cols>
    <col min="1" max="1" width="20" customWidth="1"/>
    <col min="2" max="2" width="12" customWidth="1"/>
    <col min="3" max="3" width="12" customWidth="1"/>
    <col min="4" max="4" width="7" customWidth="1"/>
    <col min="5" max="5" width="7" customWidth="1"/>
    <col min="6" max="6" width="7" customWidth="1"/>
    <col min="7" max="7" width="10" customWidth="1"/>
    <col min="8" max="8" width="10" customWidth="1"/>
    <col min="9" max="9" width="10" customWidth="1"/>
  </cols>
  <sheetData>
    <row r="1">
      <c r="A1" s="1" t="inlineStr">
        <is>
          <t xml:space="preserve">被害度調査</t>
        </is>
      </c>
    </row>
    <row r="2">
      <c r="A2" s="10" t="inlineStr">
        <is>
          <t xml:space="preserve">被害度（0〜100）＝（微×1＋小×2＋中×3＋多×4）÷（調査芋数×4）×100　／　防除価＝100－（試験区の被害度÷対照区の被害度）×100</t>
        </is>
      </c>
    </row>
    <row r="4">
      <c r="A4" s="11" t="inlineStr">
        <is>
          <t xml:space="preserve">センチュウ類</t>
        </is>
      </c>
    </row>
    <row r="5">
      <c r="A5" s="2" t="inlineStr">
        <is>
          <t xml:space="preserve">処理区</t>
        </is>
      </c>
      <c r="B5" s="2" t="inlineStr">
        <is>
          <t xml:space="preserve">無</t>
        </is>
      </c>
      <c r="C5" s="2" t="inlineStr">
        <is>
          <t xml:space="preserve">微</t>
        </is>
      </c>
      <c r="D5" s="2" t="inlineStr">
        <is>
          <t xml:space="preserve">小</t>
        </is>
      </c>
      <c r="E5" s="2" t="inlineStr">
        <is>
          <t xml:space="preserve">中</t>
        </is>
      </c>
      <c r="F5" s="2" t="inlineStr">
        <is>
          <t xml:space="preserve">多</t>
        </is>
      </c>
      <c r="G5" s="2" t="inlineStr">
        <is>
          <t xml:space="preserve">調査芋数</t>
        </is>
      </c>
      <c r="H5" s="2" t="inlineStr">
        <is>
          <t xml:space="preserve">被害度</t>
        </is>
      </c>
      <c r="I5" s="2" t="inlineStr">
        <is>
          <t xml:space="preserve">防除価</t>
        </is>
      </c>
    </row>
    <row r="6">
      <c r="A6" s="3" t="inlineStr">
        <is>
          <t xml:space="preserve">試験区</t>
        </is>
      </c>
      <c r="B6" s="4">
        <v>50</v>
      </c>
      <c r="C6" s="4">
        <v>12</v>
      </c>
      <c r="D6" s="4">
        <v>5</v>
      </c>
      <c r="E6" s="4">
        <v>0</v>
      </c>
      <c r="F6" s="4">
        <v>0</v>
      </c>
      <c r="G6" s="4">
        <f>SUM(B6:F6)</f>
        <v>67</v>
      </c>
      <c r="H6" s="5">
        <f>IF(G6=0,"",(C6+D6*2+E6*3+F6*4)/4/G6*100)</f>
        <v>8.208955223880597</v>
      </c>
      <c r="I6" s="5">
        <f>IFERROR(IF(OR(H6="",H7=0),"",(1-H6/H7)*100),"")</f>
        <v>72.02874516307351</v>
      </c>
    </row>
    <row r="7">
      <c r="A7" s="3" t="inlineStr">
        <is>
          <t xml:space="preserve">対照区</t>
        </is>
      </c>
      <c r="B7" s="4">
        <v>30</v>
      </c>
      <c r="C7" s="4">
        <v>0</v>
      </c>
      <c r="D7" s="4">
        <v>0</v>
      </c>
      <c r="E7" s="4">
        <v>10</v>
      </c>
      <c r="F7" s="4">
        <v>6</v>
      </c>
      <c r="G7" s="4">
        <f>SUM(B7:F7)</f>
        <v>46</v>
      </c>
      <c r="H7" s="5">
        <f>IF(G7=0,"",(C7+D7*2+E7*3+F7*4)/4/G7*100)</f>
        <v>29.347826086956523</v>
      </c>
      <c r="I7" s="15" t="inlineStr">
        <is>
          <t xml:space="preserve">－</t>
        </is>
      </c>
    </row>
    <row r="10">
      <c r="A10" s="11" t="inlineStr">
        <is>
          <t xml:space="preserve">コガネムシ類</t>
        </is>
      </c>
    </row>
    <row r="11">
      <c r="A11" s="2" t="inlineStr">
        <is>
          <t xml:space="preserve">処理区</t>
        </is>
      </c>
      <c r="B11" s="2" t="inlineStr">
        <is>
          <t xml:space="preserve">無</t>
        </is>
      </c>
      <c r="C11" s="2" t="inlineStr">
        <is>
          <t xml:space="preserve">微</t>
        </is>
      </c>
      <c r="D11" s="2" t="inlineStr">
        <is>
          <t xml:space="preserve">小</t>
        </is>
      </c>
      <c r="E11" s="2" t="inlineStr">
        <is>
          <t xml:space="preserve">中</t>
        </is>
      </c>
      <c r="F11" s="2" t="inlineStr">
        <is>
          <t xml:space="preserve">多</t>
        </is>
      </c>
      <c r="G11" s="2" t="inlineStr">
        <is>
          <t xml:space="preserve">調査芋数</t>
        </is>
      </c>
      <c r="H11" s="2" t="inlineStr">
        <is>
          <t xml:space="preserve">被害度</t>
        </is>
      </c>
      <c r="I11" s="2" t="inlineStr">
        <is>
          <t xml:space="preserve">防除価</t>
        </is>
      </c>
    </row>
    <row r="12">
      <c r="A12" s="3" t="inlineStr">
        <is>
          <t xml:space="preserve">試験区</t>
        </is>
      </c>
      <c r="B12" s="4">
        <v>60</v>
      </c>
      <c r="C12" s="4">
        <v>8</v>
      </c>
      <c r="D12" s="4">
        <v>0</v>
      </c>
      <c r="E12" s="4">
        <v>0</v>
      </c>
      <c r="F12" s="4">
        <v>0</v>
      </c>
      <c r="G12" s="4">
        <f>SUM(B12:F12)</f>
        <v>68</v>
      </c>
      <c r="H12" s="5">
        <f>IF(G12=0,"",(C12+D12*2+E12*3+F12*4)/4/G12*100)</f>
        <v>2.941176470588235</v>
      </c>
      <c r="I12" s="5">
        <f>IFERROR(IF(OR(H12="",H13=0),"",(1-H12/H13)*100),"")</f>
        <v>76.9607843137255</v>
      </c>
    </row>
    <row r="13">
      <c r="A13" s="3" t="inlineStr">
        <is>
          <t xml:space="preserve">対照区</t>
        </is>
      </c>
      <c r="B13" s="4">
        <v>35</v>
      </c>
      <c r="C13" s="4">
        <v>0</v>
      </c>
      <c r="D13" s="4">
        <v>12</v>
      </c>
      <c r="E13" s="4">
        <v>0</v>
      </c>
      <c r="F13" s="4">
        <v>0</v>
      </c>
      <c r="G13" s="4">
        <f>SUM(B13:F13)</f>
        <v>47</v>
      </c>
      <c r="H13" s="5">
        <f>IF(G13=0,"",(C13+D13*2+E13*3+F13*4)/4/G13*100)</f>
        <v>12.76595744680851</v>
      </c>
      <c r="I13" s="15" t="inlineStr">
        <is>
          <t xml:space="preserve">－</t>
        </is>
      </c>
    </row>
    <row r="16">
      <c r="A16" s="11" t="inlineStr">
        <is>
          <t xml:space="preserve">被害度まとめ</t>
        </is>
      </c>
    </row>
    <row r="17">
      <c r="A17" s="2" t="inlineStr">
        <is>
          <t xml:space="preserve">処理区</t>
        </is>
      </c>
      <c r="B17" s="2" t="inlineStr">
        <is>
          <t xml:space="preserve">センチュウ類</t>
        </is>
      </c>
      <c r="C17" s="2" t="inlineStr">
        <is>
          <t xml:space="preserve">コガネムシ類</t>
        </is>
      </c>
    </row>
    <row r="18">
      <c r="A18" s="3" t="inlineStr">
        <is>
          <t xml:space="preserve">試験区</t>
        </is>
      </c>
      <c r="B18" s="5">
        <f>IF(H6="","",H6)</f>
        <v>8.208955223880597</v>
      </c>
      <c r="C18" s="5">
        <f>IF(H12="","",H12)</f>
        <v>2.941176470588235</v>
      </c>
    </row>
    <row r="19">
      <c r="A19" s="3" t="inlineStr">
        <is>
          <t xml:space="preserve">対照区</t>
        </is>
      </c>
      <c r="B19" s="5">
        <f>IF(H7="","",H7)</f>
        <v>29.347826086956523</v>
      </c>
      <c r="C19" s="5">
        <f>IF(H13="","",H13)</f>
        <v>12.76595744680851</v>
      </c>
    </row>
  </sheetData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.75"/>
  <cols>
    <col min="1" max="1" width="20" customWidth="1"/>
    <col min="2" max="2" width="9" customWidth="1"/>
    <col min="3" max="3" width="9" customWidth="1"/>
    <col min="4" max="4" width="9" customWidth="1"/>
    <col min="5" max="5" width="9" customWidth="1"/>
    <col min="6" max="6" width="9" customWidth="1"/>
  </cols>
  <sheetData>
    <row r="1">
      <c r="A1" s="1" t="inlineStr">
        <is>
          <t xml:space="preserve">品質区分</t>
        </is>
      </c>
    </row>
    <row r="3">
      <c r="A3" s="2" t="inlineStr">
        <is>
          <t xml:space="preserve">処理区</t>
        </is>
      </c>
      <c r="B3" s="2" t="inlineStr">
        <is>
          <t xml:space="preserve">A品</t>
        </is>
      </c>
      <c r="C3" s="2" t="inlineStr">
        <is>
          <t xml:space="preserve">B品</t>
        </is>
      </c>
      <c r="D3" s="2" t="inlineStr">
        <is>
          <t xml:space="preserve">丸品</t>
        </is>
      </c>
      <c r="E3" s="2" t="inlineStr">
        <is>
          <t xml:space="preserve">C品</t>
        </is>
      </c>
      <c r="F3" s="2" t="inlineStr">
        <is>
          <t xml:space="preserve">計</t>
        </is>
      </c>
    </row>
    <row r="4">
      <c r="A4" s="3" t="inlineStr">
        <is>
          <t xml:space="preserve">試験区</t>
        </is>
      </c>
      <c r="B4" s="4">
        <v>63</v>
      </c>
      <c r="C4" s="4">
        <v>7</v>
      </c>
      <c r="D4" s="4">
        <v>0</v>
      </c>
      <c r="E4" s="4">
        <v>1</v>
      </c>
      <c r="F4" s="8">
        <f>SUM(B4:E4)</f>
        <v>71</v>
      </c>
    </row>
    <row r="5">
      <c r="A5" s="3" t="inlineStr">
        <is>
          <t xml:space="preserve">対照区</t>
        </is>
      </c>
      <c r="B5" s="4">
        <v>45</v>
      </c>
      <c r="C5" s="4">
        <v>5</v>
      </c>
      <c r="D5" s="4">
        <v>0</v>
      </c>
      <c r="E5" s="4">
        <v>0</v>
      </c>
      <c r="F5" s="8">
        <f>SUM(B5:E5)</f>
        <v>50</v>
      </c>
    </row>
    <row r="7">
      <c r="A7" s="11" t="inlineStr">
        <is>
          <t xml:space="preserve">各品質区分比率</t>
        </is>
      </c>
    </row>
    <row r="8">
      <c r="A8" s="2" t="inlineStr">
        <is>
          <t xml:space="preserve">処理区</t>
        </is>
      </c>
      <c r="B8" s="2" t="inlineStr">
        <is>
          <t xml:space="preserve">A品</t>
        </is>
      </c>
      <c r="C8" s="2" t="inlineStr">
        <is>
          <t xml:space="preserve">B品</t>
        </is>
      </c>
      <c r="D8" s="2" t="inlineStr">
        <is>
          <t xml:space="preserve">丸品</t>
        </is>
      </c>
      <c r="E8" s="2" t="inlineStr">
        <is>
          <t xml:space="preserve">C品</t>
        </is>
      </c>
      <c r="F8" s="2" t="inlineStr">
        <is>
          <t xml:space="preserve">計</t>
        </is>
      </c>
    </row>
    <row r="9">
      <c r="A9" s="3" t="inlineStr">
        <is>
          <t xml:space="preserve">試験区</t>
        </is>
      </c>
      <c r="B9" s="6">
        <f>IF($F4=0,"",B4/$F4)</f>
        <v>0.8873239436619719</v>
      </c>
      <c r="C9" s="6">
        <f>IF($F4=0,"",C4/$F4)</f>
        <v>0.09859154929577464</v>
      </c>
      <c r="D9" s="6">
        <f>IF($F4=0,"",D4/$F4)</f>
        <v>0</v>
      </c>
      <c r="E9" s="6">
        <f>IF($F4=0,"",E4/$F4)</f>
        <v>0.014084507042253521</v>
      </c>
      <c r="F9" s="9">
        <f>IF($F4=0,"",SUM(B9:E9))</f>
        <v>1</v>
      </c>
    </row>
    <row r="10">
      <c r="A10" s="3" t="inlineStr">
        <is>
          <t xml:space="preserve">対照区</t>
        </is>
      </c>
      <c r="B10" s="6">
        <f>IF($F5=0,"",B5/$F5)</f>
        <v>0.9</v>
      </c>
      <c r="C10" s="6">
        <f>IF($F5=0,"",C5/$F5)</f>
        <v>0.1</v>
      </c>
      <c r="D10" s="6">
        <f>IF($F5=0,"",D5/$F5)</f>
        <v>0</v>
      </c>
      <c r="E10" s="6">
        <f>IF($F5=0,"",E5/$F5)</f>
        <v>0</v>
      </c>
      <c r="F10" s="9">
        <f>IF($F5=0,"",SUM(B10:E10))</f>
        <v>1</v>
      </c>
    </row>
  </sheetData>
  <pageMargins left="0.7" right="0.7" top="0.75" bottom="0.75" header="0.3" footer="0.3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.75"/>
  <cols>
    <col min="1" max="1" width="12" customWidth="1"/>
  </cols>
  <sheetData>
    <row r="1">
      <c r="A1" s="1" t="inlineStr">
        <is>
          <t xml:space="preserve">グラフ（画像）</t>
        </is>
      </c>
    </row>
    <row r="2">
      <c r="A2" s="10" t="inlineStr">
        <is>
          <t xml:space="preserve">報告書などに貼り付けやすい画像です。数値を修正しても画像は変わりません（各シートのグラフは数値に合わせて変わります）。</t>
        </is>
      </c>
    </row>
  </sheetData>
  <pageMargins left="0.7" right="0.7" top="0.75" bottom="0.75" header="0.3" footer="0.3"/>
  <pageSetup paperSize="9" orientation="landscape"/>
  <drawing r:id="rId1"/>
</worksheet>
</file>